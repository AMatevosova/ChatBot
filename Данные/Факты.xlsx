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"/>
    </mc:Choice>
  </mc:AlternateContent>
  <xr:revisionPtr revIDLastSave="0" documentId="13_ncr:1_{0E4DAB81-2121-4B61-8CE3-980AB2175FF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Все" sheetId="5" r:id="rId1"/>
    <sheet name="КСП" sheetId="9" r:id="rId2"/>
    <sheet name="ОНБП трлн руб" sheetId="1" r:id="rId3"/>
    <sheet name="ОНБП % ВВП" sheetId="2" r:id="rId4"/>
    <sheet name="ФЗоФБ трлн руб" sheetId="3" r:id="rId5"/>
    <sheet name="ФЗоФБ % ВВП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5" l="1"/>
  <c r="E12" i="5"/>
  <c r="F12" i="5"/>
  <c r="G12" i="5"/>
  <c r="H12" i="5"/>
  <c r="I12" i="5"/>
  <c r="J12" i="5"/>
  <c r="K12" i="5"/>
  <c r="L12" i="5"/>
  <c r="M12" i="5"/>
  <c r="N12" i="5"/>
  <c r="O12" i="5"/>
  <c r="P12" i="5"/>
  <c r="C12" i="5"/>
</calcChain>
</file>

<file path=xl/sharedStrings.xml><?xml version="1.0" encoding="utf-8"?>
<sst xmlns="http://schemas.openxmlformats.org/spreadsheetml/2006/main" count="153" uniqueCount="133">
  <si>
    <t>Показатель</t>
  </si>
  <si>
    <t>Доходы</t>
  </si>
  <si>
    <t>Ненефтегазовые доходы</t>
  </si>
  <si>
    <t>Расходы</t>
  </si>
  <si>
    <t>Сальдо</t>
  </si>
  <si>
    <t>Нефтегазовые доходы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</si>
  <si>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</si>
  <si>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</si>
  <si>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</si>
  <si>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</si>
  <si>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</si>
  <si>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</si>
  <si>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Счет текущих операций</t>
  </si>
  <si>
    <t>СОК</t>
  </si>
  <si>
    <t>СТО и СОК</t>
  </si>
  <si>
    <t>Финансовый счет (искл. резервы)</t>
  </si>
  <si>
    <t>Сальдо ФС по госсектору</t>
  </si>
  <si>
    <t>Сальдо ФС по частному сектору (вкл. ошибки)</t>
  </si>
  <si>
    <t>Баланс первичных и вторичных доходов</t>
  </si>
  <si>
    <t>Финансовый счет (включая резервы)</t>
  </si>
  <si>
    <t>Баланс товаров и услуг</t>
  </si>
  <si>
    <t>Чистые ошибки и пропуски</t>
  </si>
  <si>
    <t>Сальдо ФС по частному сектору</t>
  </si>
  <si>
    <t>Изменение резервов</t>
  </si>
  <si>
    <t>Сальдо фин. операций частного сектора</t>
  </si>
  <si>
    <t>Чистое принятие обязательств</t>
  </si>
  <si>
    <t>Чистое приобретение активов, искл. резервы</t>
  </si>
  <si>
    <t>Денежная масса</t>
  </si>
  <si>
    <t>Денежная база в узком опр.</t>
  </si>
  <si>
    <t>Кредит нефин. орг. и населению</t>
  </si>
  <si>
    <t>Кредит экономике</t>
  </si>
  <si>
    <t>Кредит ЮЛ</t>
  </si>
  <si>
    <t>Кредит ФЛ</t>
  </si>
  <si>
    <t>Ипотечные кредиты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</si>
  <si>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</si>
  <si>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</si>
  <si>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</si>
  <si>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</si>
  <si>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</si>
  <si>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</si>
  <si>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Инфляция на конец года</t>
  </si>
  <si>
    <t>Среднегодовая инфляция</t>
  </si>
  <si>
    <t>Ключевая ставка</t>
  </si>
  <si>
    <t>ВВП</t>
  </si>
  <si>
    <t>ВВП 4к/4к</t>
  </si>
  <si>
    <t>Экспорт товаров и услуг</t>
  </si>
  <si>
    <t>Импорт товаров и услуг</t>
  </si>
  <si>
    <t>Цена на нефть Urals</t>
  </si>
  <si>
    <t>Цена на нефть Brent</t>
  </si>
  <si>
    <t>Цена на нефть</t>
  </si>
  <si>
    <t>Экспортная цена на российскую нефть</t>
  </si>
  <si>
    <t>Баланс консолидированного бюджета</t>
  </si>
  <si>
    <t>ВВП, % г/г</t>
  </si>
  <si>
    <t>Инфляция, % г/г</t>
  </si>
  <si>
    <t>Инфляция, %, кв/кв с.к.г.</t>
  </si>
  <si>
    <t>Курс USD/RUB</t>
  </si>
  <si>
    <t>Цена нефти для налогообложения</t>
  </si>
  <si>
    <t>1к12</t>
  </si>
  <si>
    <t>2к12</t>
  </si>
  <si>
    <t>3к12</t>
  </si>
  <si>
    <t>4к12</t>
  </si>
  <si>
    <t>1к13</t>
  </si>
  <si>
    <t>2к13</t>
  </si>
  <si>
    <t>3к13</t>
  </si>
  <si>
    <t>4к13</t>
  </si>
  <si>
    <t>1к14</t>
  </si>
  <si>
    <t>2к14</t>
  </si>
  <si>
    <t>3к14</t>
  </si>
  <si>
    <t>4к14</t>
  </si>
  <si>
    <t>1к15</t>
  </si>
  <si>
    <t>2к15</t>
  </si>
  <si>
    <t>3к15</t>
  </si>
  <si>
    <t>4к15</t>
  </si>
  <si>
    <t>1к16</t>
  </si>
  <si>
    <t>2к16</t>
  </si>
  <si>
    <t>3к16</t>
  </si>
  <si>
    <t>4к16</t>
  </si>
  <si>
    <t>1к17</t>
  </si>
  <si>
    <t>2к17</t>
  </si>
  <si>
    <t>3к17</t>
  </si>
  <si>
    <t>4к17</t>
  </si>
  <si>
    <t>1к18</t>
  </si>
  <si>
    <t>2к18</t>
  </si>
  <si>
    <t>3к18</t>
  </si>
  <si>
    <t>4к18</t>
  </si>
  <si>
    <t>1к19</t>
  </si>
  <si>
    <t>2к19</t>
  </si>
  <si>
    <t>3к19</t>
  </si>
  <si>
    <t>4к19</t>
  </si>
  <si>
    <t>1к20</t>
  </si>
  <si>
    <t>2к20</t>
  </si>
  <si>
    <t>3к20</t>
  </si>
  <si>
    <t>4к20</t>
  </si>
  <si>
    <t>1к21</t>
  </si>
  <si>
    <t>2к21</t>
  </si>
  <si>
    <t>3к21</t>
  </si>
  <si>
    <t>4к21</t>
  </si>
  <si>
    <t>1к22</t>
  </si>
  <si>
    <t>2к22</t>
  </si>
  <si>
    <t>3к22</t>
  </si>
  <si>
    <t>4к22</t>
  </si>
  <si>
    <t>1к23</t>
  </si>
  <si>
    <t>2к23</t>
  </si>
  <si>
    <t>3к23</t>
  </si>
  <si>
    <t>4к23</t>
  </si>
  <si>
    <t>1к24</t>
  </si>
  <si>
    <t>2к24</t>
  </si>
  <si>
    <t>3к24</t>
  </si>
  <si>
    <t>Среднегодовой уровень безработицы</t>
  </si>
  <si>
    <t>Уровень безработы, дек</t>
  </si>
  <si>
    <t>Номинальная зп</t>
  </si>
  <si>
    <t>ВВП, мир, % г/г</t>
  </si>
  <si>
    <t>Ставка, ФРС США, верхняя граница диапазона, %, в среднем за год</t>
  </si>
  <si>
    <t>Ставка, ЕЦБ депозитная, %, в среднем за год</t>
  </si>
  <si>
    <t>ВВП, США, % г/г</t>
  </si>
  <si>
    <t>ВВП, еврозона, % г/г</t>
  </si>
  <si>
    <t>Инфляция, США, % г/г</t>
  </si>
  <si>
    <t>Инфляция, еврозона, % г/г</t>
  </si>
  <si>
    <t>Ставка, ЕЦБ, %, на конец года</t>
  </si>
  <si>
    <t>ВВП, Китай, % г/г</t>
  </si>
  <si>
    <t>Инфляция, Китай, % г/г</t>
  </si>
  <si>
    <t>Ставка, ФРС США, %</t>
  </si>
  <si>
    <t>Ставка, ЕЦБ, %</t>
  </si>
  <si>
    <t>Ставка, Китай, %</t>
  </si>
  <si>
    <t>Дополнительные нефтегазовые доходы</t>
  </si>
  <si>
    <t>Базовые нефтегазовые доходы</t>
  </si>
  <si>
    <t>Округление</t>
  </si>
  <si>
    <t>4к24</t>
  </si>
  <si>
    <t>1к25</t>
  </si>
  <si>
    <t>2к25</t>
  </si>
  <si>
    <t>3к25</t>
  </si>
  <si>
    <t>4к25</t>
  </si>
  <si>
    <t>Ставка, ФРС США, %, на конец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</si>
</sst>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"/>
    <numFmt numFmtId="165" formatCode="#,##0.0_ ;\-#,##0.0\ "/>
    <numFmt numFmtId="166" formatCode="0.0"/>
    <numFmt numFmtId="167" formatCode="_-* #,##0.00\ _₽_-;\-* #,##0.00\ _₽_-;_-* &quot;-&quot;??\ _₽_-;_-@_-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2"/>
      <color rgb="FF000000"/>
      <name val="Arial"/>
      <family val="2"/>
      <charset val="204"/>
    </font>
    <font>
      <sz val="11"/>
      <color theme="1"/>
      <name val="Calibri"/>
      <family val="2"/>
    </font>
    <font>
      <sz val="12"/>
      <color rgb="FF00000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6.15"/>
      <name val="Arial"/>
      <family val="2"/>
    </font>
    <font>
      <sz val="10"/>
      <color rgb="FF000000"/>
      <name val="Arial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1" fillId="0" borderId="5" applyNumberFormat="0" applyFill="0" applyProtection="0">
      <alignment horizontal="left" vertical="top" wrapText="1"/>
    </xf>
    <xf numFmtId="0" fontId="12" fillId="0" borderId="0">
      <protection locked="0"/>
    </xf>
    <xf numFmtId="0" fontId="10" fillId="0" borderId="0"/>
    <xf numFmtId="0" fontId="10" fillId="0" borderId="0"/>
    <xf numFmtId="0" fontId="9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52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/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wrapText="1"/>
    </xf>
    <xf numFmtId="1" fontId="0" fillId="0" borderId="0" xfId="0" applyNumberFormat="1"/>
    <xf numFmtId="0" fontId="0" fillId="0" borderId="0" xfId="0" applyFill="1"/>
    <xf numFmtId="1" fontId="0" fillId="0" borderId="0" xfId="0" applyNumberFormat="1" applyFill="1"/>
    <xf numFmtId="1" fontId="0" fillId="0" borderId="0" xfId="0" applyNumberFormat="1" applyFont="1" applyFill="1"/>
    <xf numFmtId="166" fontId="0" fillId="0" borderId="0" xfId="0" applyNumberFormat="1"/>
    <xf numFmtId="1" fontId="0" fillId="0" borderId="0" xfId="0" applyNumberFormat="1" applyFill="1" applyBorder="1"/>
    <xf numFmtId="2" fontId="14" fillId="0" borderId="0" xfId="13" applyNumberFormat="1" applyFont="1" applyFill="1" applyBorder="1"/>
    <xf numFmtId="166" fontId="14" fillId="0" borderId="0" xfId="13" applyNumberFormat="1" applyFont="1" applyFill="1" applyBorder="1"/>
    <xf numFmtId="167" fontId="14" fillId="0" borderId="0" xfId="12" applyNumberFormat="1" applyFont="1" applyFill="1" applyBorder="1" applyAlignment="1">
      <alignment horizontal="center"/>
    </xf>
    <xf numFmtId="0" fontId="0" fillId="0" borderId="0" xfId="0" applyFill="1" applyBorder="1"/>
    <xf numFmtId="166" fontId="0" fillId="0" borderId="0" xfId="0" applyNumberFormat="1" applyFill="1"/>
    <xf numFmtId="1" fontId="0" fillId="0" borderId="0" xfId="0" applyNumberFormat="1" applyBorder="1"/>
    <xf numFmtId="166" fontId="0" fillId="0" borderId="0" xfId="0" applyNumberFormat="1" applyFill="1" applyAlignment="1">
      <alignment horizontal="right"/>
    </xf>
    <xf numFmtId="0" fontId="1" fillId="0" borderId="0" xfId="0" applyFont="1"/>
    <xf numFmtId="165" fontId="1" fillId="0" borderId="0" xfId="1" applyNumberFormat="1" applyFont="1" applyFill="1" applyBorder="1" applyAlignment="1">
      <alignment horizontal="right"/>
    </xf>
    <xf numFmtId="0" fontId="16" fillId="0" borderId="0" xfId="0" applyFont="1" applyFill="1" applyBorder="1"/>
    <xf numFmtId="166" fontId="1" fillId="0" borderId="0" xfId="0" applyNumberFormat="1" applyFont="1" applyFill="1" applyBorder="1"/>
    <xf numFmtId="2" fontId="1" fillId="0" borderId="0" xfId="0" applyNumberFormat="1" applyFont="1" applyFill="1" applyBorder="1"/>
    <xf numFmtId="0" fontId="1" fillId="0" borderId="0" xfId="0" applyFont="1" applyFill="1" applyBorder="1"/>
    <xf numFmtId="166" fontId="1" fillId="0" borderId="0" xfId="2" applyNumberFormat="1" applyFont="1" applyFill="1" applyBorder="1"/>
    <xf numFmtId="164" fontId="17" fillId="0" borderId="0" xfId="0" applyNumberFormat="1" applyFont="1" applyAlignment="1">
      <alignment horizontal="right" vertical="center"/>
    </xf>
    <xf numFmtId="0" fontId="0" fillId="0" borderId="2" xfId="0" applyBorder="1"/>
    <xf numFmtId="166" fontId="0" fillId="0" borderId="2" xfId="0" applyNumberFormat="1" applyBorder="1"/>
    <xf numFmtId="0" fontId="0" fillId="0" borderId="2" xfId="0" applyFill="1" applyBorder="1"/>
    <xf numFmtId="2" fontId="15" fillId="0" borderId="2" xfId="0" applyNumberFormat="1" applyFont="1" applyFill="1" applyBorder="1" applyAlignment="1">
      <alignment horizontal="right" vertical="center"/>
    </xf>
    <xf numFmtId="168" fontId="15" fillId="0" borderId="2" xfId="0" applyNumberFormat="1" applyFont="1" applyFill="1" applyBorder="1" applyAlignment="1">
      <alignment horizontal="right" vertical="center"/>
    </xf>
    <xf numFmtId="1" fontId="0" fillId="0" borderId="2" xfId="0" applyNumberFormat="1" applyBorder="1"/>
    <xf numFmtId="0" fontId="1" fillId="0" borderId="2" xfId="0" applyFont="1" applyFill="1" applyBorder="1"/>
    <xf numFmtId="165" fontId="1" fillId="0" borderId="2" xfId="1" applyNumberFormat="1" applyFont="1" applyFill="1" applyBorder="1" applyAlignment="1">
      <alignment horizontal="right"/>
    </xf>
    <xf numFmtId="1" fontId="0" fillId="0" borderId="2" xfId="0" applyNumberFormat="1" applyFill="1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7" xfId="0" applyFill="1" applyBorder="1"/>
    <xf numFmtId="0" fontId="0" fillId="0" borderId="8" xfId="0" applyFill="1" applyBorder="1"/>
    <xf numFmtId="0" fontId="0" fillId="0" borderId="0" xfId="0" applyNumberFormat="1" applyFill="1" applyAlignment="1">
      <alignment horizontal="right"/>
    </xf>
    <xf numFmtId="166" fontId="0" fillId="0" borderId="0" xfId="0" applyNumberFormat="1" applyFill="1" applyBorder="1" applyAlignment="1">
      <alignment horizontal="right"/>
    </xf>
    <xf numFmtId="0" fontId="5" fillId="0" borderId="2" xfId="0" applyFont="1" applyFill="1" applyBorder="1" applyAlignment="1">
      <alignment horizontal="center" vertical="center"/>
    </xf>
    <xf numFmtId="1" fontId="0" fillId="0" borderId="4" xfId="0" applyNumberFormat="1" applyFill="1" applyBorder="1"/>
    <xf numFmtId="1" fontId="0" fillId="0" borderId="6" xfId="0" applyNumberFormat="1" applyFill="1" applyBorder="1"/>
    <xf numFmtId="164" fontId="17" fillId="0" borderId="0" xfId="0" applyNumberFormat="1" applyFont="1" applyFill="1" applyAlignment="1">
      <alignment horizontal="right" vertical="center"/>
    </xf>
    <xf numFmtId="166" fontId="0" fillId="0" borderId="2" xfId="0" applyNumberFormat="1" applyFill="1" applyBorder="1"/>
  </cellXfs>
  <cellStyles count="15">
    <cellStyle name="m49048872" xfId="4" xr:uid="{F60C5AEB-1B7F-4FE3-87E7-050FA28CC636}"/>
    <cellStyle name="Normal" xfId="5" xr:uid="{B7193C21-9CBB-4B26-BCCC-F99218A622BD}"/>
    <cellStyle name="Обычный" xfId="0" builtinId="0"/>
    <cellStyle name="Обычный 2" xfId="6" xr:uid="{34A8135D-2B8C-4C14-A8A7-1FE69BA61B60}"/>
    <cellStyle name="Обычный 2 2" xfId="7" xr:uid="{C16CC7C4-AC2C-4261-9AA5-A073F956AF7A}"/>
    <cellStyle name="Обычный 2 3" xfId="8" xr:uid="{D372F5B6-5FC1-4C35-BE85-CC7C861105BC}"/>
    <cellStyle name="Обычный 3" xfId="3" xr:uid="{BDDDAAED-0508-4873-ADDB-34005B9A19CC}"/>
    <cellStyle name="Обычный 4" xfId="11" xr:uid="{C4696B88-27AD-4BED-86B5-EAD82A70A1BF}"/>
    <cellStyle name="Обычный 5" xfId="14" xr:uid="{230B5D51-C82C-4547-8C57-6B28637D059F}"/>
    <cellStyle name="Процентный" xfId="2" builtinId="5"/>
    <cellStyle name="Процентный 2" xfId="9" xr:uid="{075069BE-6145-4A33-A75A-B225AECC77E3}"/>
    <cellStyle name="Процентный 2 2" xfId="10" xr:uid="{09D7900F-C887-4446-958A-8268152BD690}"/>
    <cellStyle name="Процентный 3" xfId="13" xr:uid="{E53BE7B0-4E39-4DCC-85D7-931F33E0B899}"/>
    <cellStyle name="Финансовый" xfId="1" builtinId="3"/>
    <cellStyle name="Финансовый 2" xfId="12" xr:uid="{0AD1707F-B42A-46F6-95AE-2F4CB82E3C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F6E8-7939-45D3-A4D8-9881F9E7D101}">
  <dimension ref="A1:V66"/>
  <sheetViews>
    <sheetView tabSelected="1" topLeftCell="A8" zoomScale="67" zoomScaleNormal="100" workbookViewId="0">
      <selection activeCell="R72" sqref="R72"/>
    </sheetView>
  </sheetViews>
  <sheetFormatPr defaultRowHeight="14.25" x14ac:dyDescent="0.45"/>
  <cols>
    <col min="1" max="1" width="39.6640625" bestFit="1" customWidth="1"/>
    <col min="2" max="2" width="10.3984375" style="41" bestFit="1" customWidth="1"/>
    <col min="6" max="16" width="9.06640625" style="11"/>
  </cols>
  <sheetData>
    <row r="1" spans="1:20" ht="15.4" thickBot="1" x14ac:dyDescent="0.5">
      <c r="A1" s="1" t="s">
        <v>0</v>
      </c>
      <c r="B1" s="41" t="s">
        <v>126</v>
      </c>
      <c r="C1" s="3">
        <v>2011</v>
      </c>
      <c r="D1" s="3">
        <v>2012</v>
      </c>
      <c r="E1" s="3">
        <v>2013</v>
      </c>
      <c r="F1" s="47">
        <v>2014</v>
      </c>
      <c r="G1" s="47">
        <v>2015</v>
      </c>
      <c r="H1" s="47">
        <v>2016</v>
      </c>
      <c r="I1" s="47">
        <v>2017</v>
      </c>
      <c r="J1" s="47">
        <v>2018</v>
      </c>
      <c r="K1" s="47">
        <v>2019</v>
      </c>
      <c r="L1" s="47">
        <v>2020</v>
      </c>
      <c r="M1" s="47">
        <v>2021</v>
      </c>
      <c r="N1" s="47">
        <v>2022</v>
      </c>
      <c r="O1" s="47">
        <v>2023</v>
      </c>
      <c r="P1" s="47">
        <v>2024</v>
      </c>
      <c r="Q1" s="3">
        <v>2025</v>
      </c>
      <c r="R1" s="3">
        <v>2026</v>
      </c>
      <c r="S1" s="3">
        <v>2027</v>
      </c>
      <c r="T1" s="3">
        <v>2028</v>
      </c>
    </row>
    <row r="2" spans="1:20" x14ac:dyDescent="0.45">
      <c r="A2" t="s">
        <v>12</v>
      </c>
      <c r="B2" s="41">
        <v>0</v>
      </c>
      <c r="C2" s="10">
        <v>97.273939999999996</v>
      </c>
      <c r="D2" s="10">
        <v>71.28219</v>
      </c>
      <c r="E2" s="10">
        <v>33.428199999999997</v>
      </c>
      <c r="F2" s="12">
        <v>57.512800000000006</v>
      </c>
      <c r="G2" s="12">
        <v>67.777270000000001</v>
      </c>
      <c r="H2" s="12">
        <v>24.468769999999999</v>
      </c>
      <c r="I2" s="12">
        <v>32.178609999999999</v>
      </c>
      <c r="J2" s="12">
        <v>115.68001</v>
      </c>
      <c r="K2" s="12">
        <v>65.650109999999998</v>
      </c>
      <c r="L2" s="12">
        <v>35.372680000000003</v>
      </c>
      <c r="M2" s="12">
        <v>124.95303</v>
      </c>
      <c r="N2" s="12">
        <v>237.73477</v>
      </c>
      <c r="O2" s="12">
        <v>49.396509999999999</v>
      </c>
      <c r="P2" s="12">
        <v>63.360230000000001</v>
      </c>
    </row>
    <row r="3" spans="1:20" x14ac:dyDescent="0.45">
      <c r="A3" t="s">
        <v>6</v>
      </c>
      <c r="B3" s="41">
        <v>0</v>
      </c>
      <c r="C3" s="10">
        <v>196.85434000000001</v>
      </c>
      <c r="D3" s="10">
        <v>191.66276000000002</v>
      </c>
      <c r="E3" s="10">
        <v>180.56626</v>
      </c>
      <c r="F3" s="12">
        <v>188.93067000000002</v>
      </c>
      <c r="G3" s="12">
        <v>148.39793</v>
      </c>
      <c r="H3" s="12">
        <v>90.214699999999993</v>
      </c>
      <c r="I3" s="12">
        <v>114.55753</v>
      </c>
      <c r="J3" s="12">
        <v>195.05780999999999</v>
      </c>
      <c r="K3" s="12">
        <v>165.84467000000001</v>
      </c>
      <c r="L3" s="12">
        <v>93.440929999999994</v>
      </c>
      <c r="M3" s="12">
        <v>193.11423000000002</v>
      </c>
      <c r="N3" s="12">
        <v>315.56665000000004</v>
      </c>
      <c r="O3" s="12">
        <v>121.66185</v>
      </c>
      <c r="P3" s="12">
        <v>132.08592999999999</v>
      </c>
    </row>
    <row r="4" spans="1:20" x14ac:dyDescent="0.45">
      <c r="A4" t="s">
        <v>7</v>
      </c>
      <c r="B4" s="41">
        <v>0</v>
      </c>
      <c r="C4" s="10">
        <v>515.40909999999997</v>
      </c>
      <c r="D4" s="10">
        <v>527.43396999999993</v>
      </c>
      <c r="E4" s="10">
        <v>521.83548999999994</v>
      </c>
      <c r="F4" s="12">
        <v>496.80610999999999</v>
      </c>
      <c r="G4" s="12">
        <v>341.41906</v>
      </c>
      <c r="H4" s="12">
        <v>281.70902000000001</v>
      </c>
      <c r="I4" s="12">
        <v>352.94142999999997</v>
      </c>
      <c r="J4" s="12">
        <v>443.91467</v>
      </c>
      <c r="K4" s="12">
        <v>419.72140999999999</v>
      </c>
      <c r="L4" s="12">
        <v>333.52954</v>
      </c>
      <c r="M4" s="12">
        <v>494.16113999999999</v>
      </c>
      <c r="N4" s="12">
        <v>592.07653000000005</v>
      </c>
      <c r="O4" s="12">
        <v>424.74822999999998</v>
      </c>
      <c r="P4" s="12">
        <v>433.63403999999997</v>
      </c>
    </row>
    <row r="5" spans="1:20" x14ac:dyDescent="0.45">
      <c r="A5" t="s">
        <v>8</v>
      </c>
      <c r="B5" s="41">
        <v>0</v>
      </c>
      <c r="C5" s="10">
        <v>318.55475999999999</v>
      </c>
      <c r="D5" s="10">
        <v>335.77121</v>
      </c>
      <c r="E5" s="10">
        <v>341.26923999999997</v>
      </c>
      <c r="F5" s="12">
        <v>307.87542999999999</v>
      </c>
      <c r="G5" s="12">
        <v>193.02113</v>
      </c>
      <c r="H5" s="12">
        <v>191.49432000000002</v>
      </c>
      <c r="I5" s="12">
        <v>238.38389999999998</v>
      </c>
      <c r="J5" s="12">
        <v>248.85685999999998</v>
      </c>
      <c r="K5" s="12">
        <v>253.87673999999998</v>
      </c>
      <c r="L5" s="12">
        <v>240.08860999999999</v>
      </c>
      <c r="M5" s="12">
        <v>301.04690999999997</v>
      </c>
      <c r="N5" s="12">
        <v>276.50988000000001</v>
      </c>
      <c r="O5" s="12">
        <v>303.08638999999999</v>
      </c>
      <c r="P5" s="12">
        <v>301.54811000000001</v>
      </c>
    </row>
    <row r="6" spans="1:20" x14ac:dyDescent="0.45">
      <c r="A6" t="s">
        <v>9</v>
      </c>
      <c r="B6" s="41">
        <v>0</v>
      </c>
      <c r="C6" s="10">
        <v>-33.45628</v>
      </c>
      <c r="D6" s="10">
        <v>-46.58652</v>
      </c>
      <c r="E6" s="10">
        <v>-58.259349999999998</v>
      </c>
      <c r="F6" s="12">
        <v>-55.277699999999996</v>
      </c>
      <c r="G6" s="12">
        <v>-37.151940000000003</v>
      </c>
      <c r="H6" s="12">
        <v>-23.958669999999998</v>
      </c>
      <c r="I6" s="12">
        <v>-31.322779999999998</v>
      </c>
      <c r="J6" s="12">
        <v>-30.081630000000001</v>
      </c>
      <c r="K6" s="12">
        <v>-36.4938</v>
      </c>
      <c r="L6" s="12">
        <v>-16.787770000000002</v>
      </c>
      <c r="M6" s="12">
        <v>-20.320180000000001</v>
      </c>
      <c r="N6" s="12">
        <v>-22.072610000000001</v>
      </c>
      <c r="O6" s="12">
        <v>-36.139530000000001</v>
      </c>
      <c r="P6" s="12">
        <v>-38.410080000000001</v>
      </c>
    </row>
    <row r="7" spans="1:20" x14ac:dyDescent="0.45">
      <c r="A7" t="s">
        <v>10</v>
      </c>
      <c r="B7" s="41">
        <v>0</v>
      </c>
      <c r="C7" s="10">
        <v>58.039059999999999</v>
      </c>
      <c r="D7" s="10">
        <v>62.340019999999996</v>
      </c>
      <c r="E7" s="10">
        <v>70.122509999999991</v>
      </c>
      <c r="F7" s="12">
        <v>65.744489999999999</v>
      </c>
      <c r="G7" s="12">
        <v>51.615870000000001</v>
      </c>
      <c r="H7" s="12">
        <v>50.643569999999997</v>
      </c>
      <c r="I7" s="12">
        <v>57.541350000000001</v>
      </c>
      <c r="J7" s="12">
        <v>64.646270000000001</v>
      </c>
      <c r="K7" s="12">
        <v>61.977679999999999</v>
      </c>
      <c r="L7" s="12">
        <v>47.960349999999998</v>
      </c>
      <c r="M7" s="12">
        <v>55.55547</v>
      </c>
      <c r="N7" s="12">
        <v>48.801760000000002</v>
      </c>
      <c r="O7" s="12">
        <v>40.471910000000001</v>
      </c>
      <c r="P7" s="12">
        <v>43.052349999999997</v>
      </c>
    </row>
    <row r="8" spans="1:20" x14ac:dyDescent="0.45">
      <c r="A8" t="s">
        <v>11</v>
      </c>
      <c r="B8" s="41">
        <v>0</v>
      </c>
      <c r="C8" s="10">
        <v>91.495339999999999</v>
      </c>
      <c r="D8" s="10">
        <v>108.92653</v>
      </c>
      <c r="E8" s="10">
        <v>128.38185999999999</v>
      </c>
      <c r="F8" s="12">
        <v>121.02219000000001</v>
      </c>
      <c r="G8" s="12">
        <v>88.767809999999997</v>
      </c>
      <c r="H8" s="12">
        <v>74.602240000000009</v>
      </c>
      <c r="I8" s="12">
        <v>88.864130000000003</v>
      </c>
      <c r="J8" s="12">
        <v>94.727910000000008</v>
      </c>
      <c r="K8" s="12">
        <v>98.47148</v>
      </c>
      <c r="L8" s="12">
        <v>64.74812</v>
      </c>
      <c r="M8" s="12">
        <v>75.875640000000004</v>
      </c>
      <c r="N8" s="12">
        <v>70.874369999999999</v>
      </c>
      <c r="O8" s="12">
        <v>76.611440000000002</v>
      </c>
      <c r="P8" s="12">
        <v>81.462429999999998</v>
      </c>
    </row>
    <row r="9" spans="1:20" x14ac:dyDescent="0.45">
      <c r="A9" t="s">
        <v>20</v>
      </c>
      <c r="B9" s="41">
        <v>0</v>
      </c>
      <c r="C9" s="10">
        <v>163.39806000000002</v>
      </c>
      <c r="D9" s="10">
        <v>145.07624000000001</v>
      </c>
      <c r="E9" s="10">
        <v>122.30691</v>
      </c>
      <c r="F9" s="12">
        <v>133.65297000000004</v>
      </c>
      <c r="G9" s="12">
        <v>111.24599000000001</v>
      </c>
      <c r="H9" s="12">
        <v>66.256029999999996</v>
      </c>
      <c r="I9" s="12">
        <v>83.234750000000005</v>
      </c>
      <c r="J9" s="12">
        <v>164.97618</v>
      </c>
      <c r="K9" s="12">
        <v>129.35087000000001</v>
      </c>
      <c r="L9" s="12">
        <v>76.653159999999986</v>
      </c>
      <c r="M9" s="12">
        <v>172.79405000000003</v>
      </c>
      <c r="N9" s="12">
        <v>293.49404000000004</v>
      </c>
      <c r="O9" s="12">
        <v>85.522320000000008</v>
      </c>
      <c r="P9" s="12">
        <v>93.675849999999997</v>
      </c>
    </row>
    <row r="10" spans="1:20" x14ac:dyDescent="0.45">
      <c r="A10" t="s">
        <v>45</v>
      </c>
      <c r="B10" s="41">
        <v>0</v>
      </c>
      <c r="C10" s="10">
        <v>573.44799999999998</v>
      </c>
      <c r="D10" s="10">
        <v>589.774</v>
      </c>
      <c r="E10" s="10">
        <v>591.95799999999997</v>
      </c>
      <c r="F10" s="12">
        <v>562.55100000000004</v>
      </c>
      <c r="G10" s="12">
        <v>393.03500000000003</v>
      </c>
      <c r="H10" s="12">
        <v>332.35300000000001</v>
      </c>
      <c r="I10" s="12">
        <v>410.483</v>
      </c>
      <c r="J10" s="12">
        <v>508.56099999999998</v>
      </c>
      <c r="K10" s="12">
        <v>481.69900000000001</v>
      </c>
      <c r="L10" s="12">
        <v>381.49</v>
      </c>
      <c r="M10" s="12">
        <v>549.71699999999998</v>
      </c>
      <c r="N10" s="12">
        <v>640.87800000000004</v>
      </c>
      <c r="O10" s="12">
        <v>465.22</v>
      </c>
      <c r="P10" s="12">
        <v>476.68599999999998</v>
      </c>
    </row>
    <row r="11" spans="1:20" s="40" customFormat="1" x14ac:dyDescent="0.45">
      <c r="A11" s="40" t="s">
        <v>46</v>
      </c>
      <c r="B11" s="41">
        <v>0</v>
      </c>
      <c r="C11" s="21">
        <v>410.05</v>
      </c>
      <c r="D11" s="21">
        <v>444.69799999999998</v>
      </c>
      <c r="E11" s="21">
        <v>469.65100000000001</v>
      </c>
      <c r="F11" s="15">
        <v>428.89800000000002</v>
      </c>
      <c r="G11" s="15">
        <v>281.78899999999999</v>
      </c>
      <c r="H11" s="15">
        <v>266.09699999999998</v>
      </c>
      <c r="I11" s="15">
        <v>327.24799999999999</v>
      </c>
      <c r="J11" s="15">
        <v>343.58499999999998</v>
      </c>
      <c r="K11" s="15">
        <v>352.34800000000001</v>
      </c>
      <c r="L11" s="15">
        <v>304.83699999999999</v>
      </c>
      <c r="M11" s="15">
        <v>376.923</v>
      </c>
      <c r="N11" s="15">
        <v>347.38400000000001</v>
      </c>
      <c r="O11" s="15">
        <v>379.69799999999998</v>
      </c>
      <c r="P11" s="15">
        <v>383.01100000000002</v>
      </c>
    </row>
    <row r="12" spans="1:20" s="11" customFormat="1" x14ac:dyDescent="0.45">
      <c r="A12" s="11" t="s">
        <v>18</v>
      </c>
      <c r="B12" s="41">
        <v>0</v>
      </c>
      <c r="C12" s="12">
        <f>C2-C3-C6</f>
        <v>-66.124120000000005</v>
      </c>
      <c r="D12" s="12">
        <f t="shared" ref="D12:P12" si="0">D2-D3-D6</f>
        <v>-73.794050000000027</v>
      </c>
      <c r="E12" s="12">
        <f t="shared" si="0"/>
        <v>-88.878709999999998</v>
      </c>
      <c r="F12" s="12">
        <f t="shared" si="0"/>
        <v>-76.140170000000026</v>
      </c>
      <c r="G12" s="12">
        <f t="shared" si="0"/>
        <v>-43.468719999999998</v>
      </c>
      <c r="H12" s="12">
        <f t="shared" si="0"/>
        <v>-41.787259999999989</v>
      </c>
      <c r="I12" s="12">
        <f t="shared" si="0"/>
        <v>-51.056139999999999</v>
      </c>
      <c r="J12" s="12">
        <f t="shared" si="0"/>
        <v>-49.296169999999989</v>
      </c>
      <c r="K12" s="12">
        <f t="shared" si="0"/>
        <v>-63.70076000000001</v>
      </c>
      <c r="L12" s="12">
        <f t="shared" si="0"/>
        <v>-41.28047999999999</v>
      </c>
      <c r="M12" s="12">
        <f t="shared" si="0"/>
        <v>-47.841020000000022</v>
      </c>
      <c r="N12" s="12">
        <f t="shared" si="0"/>
        <v>-55.759270000000043</v>
      </c>
      <c r="O12" s="12">
        <f t="shared" si="0"/>
        <v>-36.125810000000008</v>
      </c>
      <c r="P12" s="12">
        <f t="shared" si="0"/>
        <v>-30.315619999999988</v>
      </c>
    </row>
    <row r="13" spans="1:20" x14ac:dyDescent="0.45">
      <c r="A13" s="11" t="s">
        <v>13</v>
      </c>
      <c r="B13" s="41">
        <v>0</v>
      </c>
      <c r="C13" s="10">
        <v>0.12969</v>
      </c>
      <c r="D13" s="10">
        <v>-5.2176800000000005</v>
      </c>
      <c r="E13" s="10">
        <v>-0.39494000000000001</v>
      </c>
      <c r="F13" s="12">
        <v>-42.00508</v>
      </c>
      <c r="G13" s="12">
        <v>-0.30912000000000001</v>
      </c>
      <c r="H13" s="12">
        <v>-0.76415</v>
      </c>
      <c r="I13" s="12">
        <v>-0.19225999999999999</v>
      </c>
      <c r="J13" s="12">
        <v>-1.1035599999999999</v>
      </c>
      <c r="K13" s="12">
        <v>-0.26447000000000004</v>
      </c>
      <c r="L13" s="12">
        <v>-9.3719999999999998E-2</v>
      </c>
      <c r="M13" s="12">
        <v>0.12473999999999999</v>
      </c>
      <c r="N13" s="12">
        <v>-4.5796599999999996</v>
      </c>
      <c r="O13" s="12">
        <v>-1.42628</v>
      </c>
      <c r="P13" s="12">
        <v>-0.25786999999999999</v>
      </c>
    </row>
    <row r="14" spans="1:20" x14ac:dyDescent="0.45">
      <c r="A14" t="s">
        <v>14</v>
      </c>
      <c r="B14" s="41">
        <v>0</v>
      </c>
      <c r="C14" s="10">
        <v>97.403630000000007</v>
      </c>
      <c r="D14" s="10">
        <v>66.064509999999999</v>
      </c>
      <c r="E14" s="10">
        <v>33.033259999999999</v>
      </c>
      <c r="F14" s="12">
        <v>15.507719999999999</v>
      </c>
      <c r="G14" s="12">
        <v>67.468149999999994</v>
      </c>
      <c r="H14" s="12">
        <v>23.704619999999998</v>
      </c>
      <c r="I14" s="12">
        <v>31.986339999999998</v>
      </c>
      <c r="J14" s="12">
        <v>114.57646000000001</v>
      </c>
      <c r="K14" s="12">
        <v>65.385639999999995</v>
      </c>
      <c r="L14" s="12">
        <v>35.278959999999998</v>
      </c>
      <c r="M14" s="12">
        <v>125.07777</v>
      </c>
      <c r="N14" s="12">
        <v>233.15510999999998</v>
      </c>
      <c r="O14" s="12">
        <v>47.970239999999997</v>
      </c>
      <c r="P14" s="12">
        <v>63.102359999999997</v>
      </c>
    </row>
    <row r="15" spans="1:20" x14ac:dyDescent="0.45">
      <c r="A15" t="s">
        <v>15</v>
      </c>
      <c r="B15" s="41">
        <v>0</v>
      </c>
      <c r="C15" s="10">
        <v>76.121080000000006</v>
      </c>
      <c r="D15" s="10">
        <v>25.676629999999999</v>
      </c>
      <c r="E15" s="10">
        <v>46.212350000000001</v>
      </c>
      <c r="F15" s="12">
        <v>130.99276</v>
      </c>
      <c r="G15" s="12">
        <v>68.623989999999992</v>
      </c>
      <c r="H15" s="12">
        <v>10.061100000000001</v>
      </c>
      <c r="I15" s="12">
        <v>11.93432</v>
      </c>
      <c r="J15" s="12">
        <v>78.484329999999986</v>
      </c>
      <c r="K15" s="12">
        <v>-3.0704700000000082</v>
      </c>
      <c r="L15" s="12">
        <v>52.842519999999993</v>
      </c>
      <c r="M15" s="12">
        <v>60.529280000000007</v>
      </c>
      <c r="N15" s="12">
        <v>234.33170999999999</v>
      </c>
      <c r="O15" s="12">
        <v>48.702390000000001</v>
      </c>
      <c r="P15" s="12">
        <v>56.750709999999998</v>
      </c>
    </row>
    <row r="16" spans="1:20" x14ac:dyDescent="0.45">
      <c r="A16" t="s">
        <v>19</v>
      </c>
      <c r="B16" s="41">
        <v>0</v>
      </c>
      <c r="C16" s="10">
        <v>88.751460000000009</v>
      </c>
      <c r="D16" s="10">
        <v>55.693249999999999</v>
      </c>
      <c r="E16" s="10">
        <v>24.13551</v>
      </c>
      <c r="F16" s="12">
        <v>23.44567</v>
      </c>
      <c r="G16" s="12">
        <v>70.327539999999999</v>
      </c>
      <c r="H16" s="12">
        <v>18.30481</v>
      </c>
      <c r="I16" s="12">
        <v>34.570180000000001</v>
      </c>
      <c r="J16" s="12">
        <v>116.68598</v>
      </c>
      <c r="K16" s="12">
        <v>63.410519999999998</v>
      </c>
      <c r="L16" s="12">
        <v>39.074839999999995</v>
      </c>
      <c r="M16" s="12">
        <v>124.05460000000001</v>
      </c>
      <c r="N16" s="12">
        <v>227.07897</v>
      </c>
      <c r="O16" s="12">
        <v>38.682259999999999</v>
      </c>
      <c r="P16" s="12">
        <v>52.953530000000001</v>
      </c>
    </row>
    <row r="17" spans="1:22" x14ac:dyDescent="0.45">
      <c r="A17" t="s">
        <v>16</v>
      </c>
      <c r="B17" s="41">
        <v>0</v>
      </c>
      <c r="D17" s="10">
        <v>-19.8</v>
      </c>
      <c r="E17" s="10">
        <v>-6.1000000000000014</v>
      </c>
      <c r="F17" s="12">
        <v>-27.7</v>
      </c>
      <c r="G17" s="12">
        <v>8.2000000000000011</v>
      </c>
      <c r="H17" s="12">
        <v>-4.1000000000000005</v>
      </c>
      <c r="I17" s="12">
        <v>-13.299999999999999</v>
      </c>
      <c r="J17" s="12">
        <v>8.6</v>
      </c>
      <c r="K17" s="12">
        <v>-22.900000000000002</v>
      </c>
      <c r="L17" s="12">
        <v>-1.1999999999999997</v>
      </c>
      <c r="M17" s="12">
        <v>-15.800000000000002</v>
      </c>
    </row>
    <row r="18" spans="1:22" x14ac:dyDescent="0.45">
      <c r="A18" t="s">
        <v>17</v>
      </c>
      <c r="B18" s="41">
        <v>0</v>
      </c>
      <c r="D18" s="10">
        <v>55.800000000000004</v>
      </c>
      <c r="E18" s="10">
        <v>61.400000000000027</v>
      </c>
      <c r="F18" s="12">
        <v>150.9</v>
      </c>
      <c r="G18" s="12">
        <v>57.5</v>
      </c>
      <c r="H18" s="12">
        <v>19.400000000000006</v>
      </c>
      <c r="I18" s="12">
        <v>22.6</v>
      </c>
    </row>
    <row r="19" spans="1:22" x14ac:dyDescent="0.45">
      <c r="A19" t="s">
        <v>22</v>
      </c>
      <c r="B19" s="41">
        <v>0</v>
      </c>
      <c r="D19" s="10">
        <v>45.400000000000006</v>
      </c>
      <c r="E19" s="10">
        <v>52.500000000000028</v>
      </c>
      <c r="F19" s="12">
        <v>158.80000000000001</v>
      </c>
      <c r="G19" s="12">
        <v>60.4</v>
      </c>
      <c r="H19" s="12">
        <v>14.000000000000004</v>
      </c>
      <c r="I19" s="12">
        <v>25.200000000000003</v>
      </c>
      <c r="J19" s="12">
        <v>69.8</v>
      </c>
      <c r="K19" s="12">
        <v>19.8</v>
      </c>
      <c r="L19" s="12">
        <v>54</v>
      </c>
      <c r="M19" s="12">
        <v>76.400000000000006</v>
      </c>
    </row>
    <row r="20" spans="1:22" x14ac:dyDescent="0.45">
      <c r="A20" t="s">
        <v>24</v>
      </c>
      <c r="B20" s="41">
        <v>0</v>
      </c>
      <c r="C20" s="10">
        <v>81.400000000000006</v>
      </c>
      <c r="D20" s="10">
        <v>53.9</v>
      </c>
      <c r="E20" s="10">
        <v>60.3</v>
      </c>
      <c r="F20" s="12">
        <v>152.1</v>
      </c>
      <c r="G20" s="12">
        <v>57.1</v>
      </c>
      <c r="H20" s="12">
        <v>18.5</v>
      </c>
      <c r="I20" s="12">
        <v>24.1</v>
      </c>
      <c r="J20" s="12">
        <v>65.5</v>
      </c>
      <c r="K20" s="12">
        <v>23.3</v>
      </c>
      <c r="L20" s="12">
        <v>50.1</v>
      </c>
      <c r="M20" s="12">
        <v>74.3</v>
      </c>
    </row>
    <row r="21" spans="1:22" x14ac:dyDescent="0.45">
      <c r="A21" t="s">
        <v>25</v>
      </c>
      <c r="B21" s="41">
        <v>0</v>
      </c>
      <c r="C21" s="10">
        <v>67.499259999999992</v>
      </c>
      <c r="D21" s="10">
        <v>92.434570000000008</v>
      </c>
      <c r="E21" s="10">
        <v>124.38937</v>
      </c>
      <c r="F21" s="12">
        <v>-49.685739999999996</v>
      </c>
      <c r="G21" s="12">
        <v>-72.160089999999997</v>
      </c>
      <c r="H21" s="12">
        <v>-5.378129999999997</v>
      </c>
      <c r="I21" s="12">
        <v>2.9270200000000006</v>
      </c>
      <c r="J21" s="12">
        <v>-36.482479999999995</v>
      </c>
      <c r="K21" s="12">
        <v>28.731960000000004</v>
      </c>
      <c r="L21" s="12">
        <v>-39.502310000000008</v>
      </c>
      <c r="M21" s="12">
        <v>43.883699999999997</v>
      </c>
      <c r="N21" s="12">
        <v>-123.91945</v>
      </c>
      <c r="O21" s="12">
        <v>-7.3380400000000012</v>
      </c>
      <c r="P21" s="12">
        <v>9.0441400000000005</v>
      </c>
    </row>
    <row r="22" spans="1:22" x14ac:dyDescent="0.45">
      <c r="A22" t="s">
        <v>26</v>
      </c>
      <c r="B22" s="41">
        <v>0</v>
      </c>
      <c r="C22" s="10">
        <v>143.62034999999997</v>
      </c>
      <c r="D22" s="10">
        <v>118.11122</v>
      </c>
      <c r="E22" s="10">
        <v>170.60171</v>
      </c>
      <c r="F22" s="12">
        <v>81.307020000000009</v>
      </c>
      <c r="G22" s="12">
        <v>-3.5360999999999985</v>
      </c>
      <c r="H22" s="12">
        <v>4.682970000000001</v>
      </c>
      <c r="I22" s="12">
        <v>14.861330000000002</v>
      </c>
      <c r="J22" s="12">
        <v>42.001849999999997</v>
      </c>
      <c r="K22" s="12">
        <v>25.661489999999997</v>
      </c>
      <c r="L22" s="12">
        <v>13.340219999999999</v>
      </c>
      <c r="M22" s="12">
        <v>104.41299000000001</v>
      </c>
      <c r="N22" s="12">
        <v>110.41224000000001</v>
      </c>
      <c r="O22" s="13">
        <v>41.364350000000009</v>
      </c>
      <c r="P22" s="12">
        <v>65.794850000000011</v>
      </c>
    </row>
    <row r="23" spans="1:22" x14ac:dyDescent="0.45">
      <c r="A23" t="s">
        <v>23</v>
      </c>
      <c r="B23" s="41">
        <v>0</v>
      </c>
      <c r="C23" s="10">
        <v>12.630379999999999</v>
      </c>
      <c r="D23" s="10">
        <v>30.01662</v>
      </c>
      <c r="E23" s="10">
        <v>-22.076840000000001</v>
      </c>
      <c r="F23" s="12">
        <v>-107.54709</v>
      </c>
      <c r="G23" s="12">
        <v>1.7035499999999999</v>
      </c>
      <c r="H23" s="12">
        <v>8.2437099999999983</v>
      </c>
      <c r="I23" s="12">
        <v>22.635860000000001</v>
      </c>
      <c r="J23" s="12">
        <v>38.201650000000001</v>
      </c>
      <c r="K23" s="12">
        <v>66.480990000000006</v>
      </c>
      <c r="L23" s="12">
        <v>-13.76768</v>
      </c>
      <c r="M23" s="12">
        <v>63.525320000000001</v>
      </c>
      <c r="N23" s="12">
        <v>-7.2527400000000002</v>
      </c>
      <c r="O23" s="12">
        <v>-10.02013</v>
      </c>
      <c r="P23" s="12">
        <v>-3.79718</v>
      </c>
    </row>
    <row r="24" spans="1:22" s="31" customFormat="1" ht="14.65" thickBot="1" x14ac:dyDescent="0.5">
      <c r="A24" s="31" t="s">
        <v>21</v>
      </c>
      <c r="B24" s="42">
        <v>0</v>
      </c>
      <c r="C24" s="36">
        <v>-8.6521699999999999</v>
      </c>
      <c r="D24" s="36">
        <v>-10.37125</v>
      </c>
      <c r="E24" s="36">
        <v>-8.8977599999999999</v>
      </c>
      <c r="F24" s="39">
        <v>7.9379499999999998</v>
      </c>
      <c r="G24" s="39">
        <v>2.8593899999999999</v>
      </c>
      <c r="H24" s="39">
        <v>-5.3998100000000004</v>
      </c>
      <c r="I24" s="39">
        <v>2.5838299999999998</v>
      </c>
      <c r="J24" s="39">
        <v>2.1095199999999998</v>
      </c>
      <c r="K24" s="39">
        <v>-1.9751300000000001</v>
      </c>
      <c r="L24" s="39">
        <v>3.7958699999999999</v>
      </c>
      <c r="M24" s="39">
        <v>-1.0231600000000001</v>
      </c>
      <c r="N24" s="39">
        <v>-6.0761400000000005</v>
      </c>
      <c r="O24" s="39">
        <v>-9.2879699999999996</v>
      </c>
      <c r="P24" s="39">
        <v>-10.14884</v>
      </c>
    </row>
    <row r="25" spans="1:22" x14ac:dyDescent="0.45">
      <c r="A25" t="s">
        <v>47</v>
      </c>
      <c r="B25" s="41">
        <v>0</v>
      </c>
      <c r="C25" s="15">
        <v>109</v>
      </c>
      <c r="D25" s="15">
        <v>111</v>
      </c>
      <c r="E25" s="15">
        <v>108.3</v>
      </c>
      <c r="F25" s="15">
        <v>98</v>
      </c>
      <c r="G25" s="15">
        <v>52</v>
      </c>
      <c r="H25" s="15">
        <v>42</v>
      </c>
      <c r="I25" s="15">
        <v>53</v>
      </c>
      <c r="J25" s="15">
        <v>69.8</v>
      </c>
      <c r="K25" s="15">
        <v>64</v>
      </c>
      <c r="L25" s="15">
        <v>42</v>
      </c>
      <c r="M25" s="15">
        <v>69</v>
      </c>
      <c r="N25" s="15">
        <v>76</v>
      </c>
      <c r="O25" s="15">
        <v>63</v>
      </c>
      <c r="P25" s="15">
        <v>66.599999999999994</v>
      </c>
    </row>
    <row r="26" spans="1:22" x14ac:dyDescent="0.45">
      <c r="A26" t="s">
        <v>48</v>
      </c>
      <c r="B26" s="41">
        <v>0</v>
      </c>
      <c r="C26" s="10"/>
      <c r="D26" s="10"/>
      <c r="E26" s="10"/>
      <c r="F26" s="12"/>
      <c r="G26" s="12"/>
      <c r="H26" s="12"/>
      <c r="I26" s="12"/>
      <c r="J26" s="12"/>
      <c r="K26" s="15">
        <v>64</v>
      </c>
      <c r="L26" s="15">
        <v>42</v>
      </c>
      <c r="M26" s="15">
        <v>71</v>
      </c>
      <c r="N26" s="12">
        <v>99</v>
      </c>
      <c r="O26" s="12">
        <v>82</v>
      </c>
      <c r="P26" s="15">
        <v>80</v>
      </c>
    </row>
    <row r="27" spans="1:22" x14ac:dyDescent="0.45">
      <c r="A27" t="s">
        <v>56</v>
      </c>
      <c r="B27" s="41">
        <v>0</v>
      </c>
      <c r="C27" s="10"/>
      <c r="D27" s="10"/>
      <c r="E27" s="10"/>
      <c r="F27" s="12"/>
      <c r="G27" s="12"/>
      <c r="H27" s="12"/>
      <c r="I27" s="12"/>
      <c r="J27" s="12"/>
      <c r="K27" s="15">
        <v>64</v>
      </c>
      <c r="L27" s="15">
        <v>42</v>
      </c>
      <c r="M27" s="15">
        <v>69</v>
      </c>
      <c r="N27" s="12">
        <v>76</v>
      </c>
      <c r="O27" s="12">
        <v>63</v>
      </c>
      <c r="P27" s="15">
        <v>68</v>
      </c>
    </row>
    <row r="28" spans="1:22" x14ac:dyDescent="0.45">
      <c r="A28" t="s">
        <v>49</v>
      </c>
      <c r="B28" s="41">
        <v>0</v>
      </c>
      <c r="C28" s="10"/>
      <c r="D28" s="10"/>
      <c r="E28" s="10"/>
      <c r="F28" s="12"/>
      <c r="G28" s="15">
        <v>52</v>
      </c>
      <c r="H28" s="15">
        <v>42</v>
      </c>
      <c r="I28" s="15">
        <v>53</v>
      </c>
      <c r="J28" s="12">
        <v>69.97</v>
      </c>
      <c r="K28" s="12">
        <v>63.823599999999999</v>
      </c>
      <c r="L28" s="12">
        <v>41.397799999999997</v>
      </c>
      <c r="M28" s="12">
        <v>69.061800000000005</v>
      </c>
      <c r="N28" s="48">
        <v>79.619500000000002</v>
      </c>
      <c r="O28" s="15"/>
      <c r="P28" s="15"/>
    </row>
    <row r="29" spans="1:22" s="31" customFormat="1" ht="14.65" thickBot="1" x14ac:dyDescent="0.5">
      <c r="A29" s="31" t="s">
        <v>50</v>
      </c>
      <c r="B29" s="42">
        <v>0</v>
      </c>
      <c r="C29" s="36"/>
      <c r="D29" s="36"/>
      <c r="E29" s="36"/>
      <c r="F29" s="39"/>
      <c r="G29" s="39"/>
      <c r="H29" s="39"/>
      <c r="I29" s="39"/>
      <c r="J29" s="39"/>
      <c r="K29" s="39">
        <v>63.823599999999999</v>
      </c>
      <c r="L29" s="39">
        <v>41.397799999999997</v>
      </c>
      <c r="M29" s="39">
        <v>69.061800000000005</v>
      </c>
      <c r="N29" s="39">
        <v>79.619500000000002</v>
      </c>
      <c r="O29" s="39">
        <v>64.497399999999999</v>
      </c>
      <c r="P29" s="49">
        <v>66.599999999999994</v>
      </c>
    </row>
    <row r="30" spans="1:22" s="23" customFormat="1" x14ac:dyDescent="0.45">
      <c r="A30" s="23" t="s">
        <v>51</v>
      </c>
      <c r="B30" s="43">
        <v>1</v>
      </c>
      <c r="C30" s="30">
        <v>1.4318188449353855</v>
      </c>
      <c r="D30" s="30">
        <v>0.3823405085153837</v>
      </c>
      <c r="E30" s="30">
        <v>-1.1621778585667215</v>
      </c>
      <c r="F30" s="50">
        <v>-1.0699557895096703</v>
      </c>
      <c r="G30" s="50">
        <v>-3.3934082276649278</v>
      </c>
      <c r="H30" s="50">
        <v>-3.6700325708417836</v>
      </c>
      <c r="I30" s="50">
        <v>-1.4688886778495203</v>
      </c>
      <c r="J30" s="50">
        <v>2.9227737480260387</v>
      </c>
      <c r="K30" s="50">
        <v>1.929912397332167</v>
      </c>
      <c r="L30" s="50">
        <v>-3.9916329463422429</v>
      </c>
      <c r="M30" s="50">
        <v>0.7761760197620049</v>
      </c>
      <c r="N30" s="50">
        <v>-1.3430311298447322</v>
      </c>
      <c r="O30" s="50">
        <v>-2.2165026171670164</v>
      </c>
      <c r="P30" s="50">
        <v>-1.6034587297442258</v>
      </c>
    </row>
    <row r="31" spans="1:22" s="33" customFormat="1" ht="14.65" thickBot="1" x14ac:dyDescent="0.5">
      <c r="A31" s="33" t="s">
        <v>55</v>
      </c>
      <c r="B31" s="44">
        <v>1</v>
      </c>
      <c r="C31" s="34">
        <v>29.35</v>
      </c>
      <c r="D31" s="34">
        <v>31.07</v>
      </c>
      <c r="E31" s="34">
        <v>31.82</v>
      </c>
      <c r="F31" s="34">
        <v>37.97</v>
      </c>
      <c r="G31" s="34">
        <v>60.66</v>
      </c>
      <c r="H31" s="34">
        <v>66.900000000000006</v>
      </c>
      <c r="I31" s="34">
        <v>58.33</v>
      </c>
      <c r="J31" s="34">
        <v>62.54</v>
      </c>
      <c r="K31" s="34">
        <v>64.727599999999995</v>
      </c>
      <c r="L31" s="34">
        <v>71.9422</v>
      </c>
      <c r="M31" s="34">
        <v>73.645700000000005</v>
      </c>
      <c r="N31" s="34">
        <v>67.456199999999995</v>
      </c>
      <c r="O31" s="35">
        <v>84.656599999999997</v>
      </c>
      <c r="P31" s="35">
        <v>92.443399999999997</v>
      </c>
    </row>
    <row r="32" spans="1:22" x14ac:dyDescent="0.45">
      <c r="A32" t="s">
        <v>108</v>
      </c>
      <c r="B32" s="43">
        <v>1</v>
      </c>
      <c r="C32">
        <v>6.5</v>
      </c>
      <c r="D32">
        <v>5.5</v>
      </c>
      <c r="E32">
        <v>5.5</v>
      </c>
      <c r="F32" s="11">
        <v>5.2</v>
      </c>
      <c r="G32" s="11">
        <v>5.6</v>
      </c>
      <c r="H32" s="11">
        <v>5.5</v>
      </c>
      <c r="I32" s="11">
        <v>5.2</v>
      </c>
      <c r="J32" s="11">
        <v>4.8</v>
      </c>
      <c r="K32" s="11">
        <v>4.5999999999999996</v>
      </c>
      <c r="L32" s="11">
        <v>5.8</v>
      </c>
      <c r="M32" s="11">
        <v>4.8</v>
      </c>
      <c r="N32" s="11">
        <v>3.9</v>
      </c>
      <c r="O32" s="11">
        <v>3.2</v>
      </c>
      <c r="P32" s="11">
        <v>2.5</v>
      </c>
      <c r="Q32" s="19"/>
      <c r="R32" s="19"/>
      <c r="S32" s="19"/>
      <c r="T32" s="19"/>
      <c r="U32" s="19"/>
      <c r="V32" s="19"/>
    </row>
    <row r="33" spans="1:16" x14ac:dyDescent="0.45">
      <c r="A33" t="s">
        <v>109</v>
      </c>
      <c r="B33" s="43">
        <v>1</v>
      </c>
      <c r="J33" s="11">
        <v>4.8</v>
      </c>
      <c r="K33" s="11">
        <v>4.5999999999999996</v>
      </c>
      <c r="L33" s="11">
        <v>5.9</v>
      </c>
      <c r="M33" s="11">
        <v>4.3</v>
      </c>
      <c r="N33" s="11">
        <v>3.7</v>
      </c>
      <c r="O33" s="20">
        <v>3</v>
      </c>
      <c r="P33" s="11">
        <v>2.2999999999999998</v>
      </c>
    </row>
    <row r="34" spans="1:16" s="31" customFormat="1" ht="14.65" thickBot="1" x14ac:dyDescent="0.5">
      <c r="A34" s="31" t="s">
        <v>110</v>
      </c>
      <c r="B34" s="44">
        <v>1</v>
      </c>
      <c r="C34" s="31">
        <v>11.5</v>
      </c>
      <c r="D34" s="31">
        <v>13.9</v>
      </c>
      <c r="E34" s="31">
        <v>11.9</v>
      </c>
      <c r="F34" s="33">
        <v>9.1</v>
      </c>
      <c r="G34" s="33">
        <v>5.0999999999999996</v>
      </c>
      <c r="H34" s="33">
        <v>7.9</v>
      </c>
      <c r="I34" s="33">
        <v>6.7</v>
      </c>
      <c r="J34" s="33">
        <v>11.6</v>
      </c>
      <c r="K34" s="33">
        <v>9.5</v>
      </c>
      <c r="L34" s="33">
        <v>7.3</v>
      </c>
      <c r="M34" s="33">
        <v>11.5</v>
      </c>
      <c r="N34" s="33">
        <v>14.1</v>
      </c>
      <c r="O34" s="33">
        <v>14.6</v>
      </c>
      <c r="P34" s="51">
        <v>19</v>
      </c>
    </row>
    <row r="35" spans="1:16" x14ac:dyDescent="0.45">
      <c r="A35" t="s">
        <v>27</v>
      </c>
      <c r="B35" s="43">
        <v>1</v>
      </c>
      <c r="C35" s="28"/>
      <c r="D35" s="28"/>
      <c r="E35" s="25">
        <v>14.6</v>
      </c>
      <c r="F35" s="25">
        <v>2.2000000000000002</v>
      </c>
      <c r="G35" s="24">
        <v>11.3</v>
      </c>
      <c r="H35" s="24">
        <v>9.1999999999999993</v>
      </c>
      <c r="I35" s="24">
        <v>10.5</v>
      </c>
      <c r="J35" s="24">
        <v>11</v>
      </c>
      <c r="K35" s="24">
        <v>9.6999999999999993</v>
      </c>
      <c r="L35" s="24">
        <v>13.5</v>
      </c>
      <c r="M35" s="24">
        <v>13</v>
      </c>
      <c r="N35" s="24">
        <v>24.4</v>
      </c>
      <c r="O35" s="24">
        <v>19.399999999999999</v>
      </c>
      <c r="P35" s="24">
        <v>19.2</v>
      </c>
    </row>
    <row r="36" spans="1:16" x14ac:dyDescent="0.45">
      <c r="A36" t="s">
        <v>28</v>
      </c>
      <c r="B36" s="43">
        <v>1</v>
      </c>
      <c r="C36" s="26">
        <v>20.919376934395473</v>
      </c>
      <c r="D36" s="26">
        <v>11.330703815598063</v>
      </c>
      <c r="E36" s="26">
        <v>8.021659107755319</v>
      </c>
      <c r="F36" s="26">
        <v>6.2989928124491001</v>
      </c>
      <c r="G36" s="29">
        <v>-4.3097223133985345</v>
      </c>
      <c r="H36" s="26">
        <v>3.7754833693502077</v>
      </c>
      <c r="I36" s="26">
        <v>8.5719637289144011</v>
      </c>
      <c r="J36" s="26">
        <v>8.045382125206757</v>
      </c>
      <c r="K36" s="26">
        <v>3.1257924841972873</v>
      </c>
      <c r="L36" s="26">
        <v>25.926027122781115</v>
      </c>
      <c r="M36" s="26">
        <v>5.2617113761454615</v>
      </c>
      <c r="N36" s="26">
        <v>13.061193640148971</v>
      </c>
      <c r="O36" s="26">
        <v>12.559937282357026</v>
      </c>
      <c r="P36" s="26">
        <v>1.9885105877525344</v>
      </c>
    </row>
    <row r="37" spans="1:16" x14ac:dyDescent="0.45">
      <c r="A37" t="s">
        <v>29</v>
      </c>
      <c r="B37" s="43">
        <v>1</v>
      </c>
      <c r="C37" s="28"/>
      <c r="D37" s="28"/>
      <c r="E37" s="25">
        <v>17.100000000000001</v>
      </c>
      <c r="F37" s="25">
        <v>25.9</v>
      </c>
      <c r="G37" s="27">
        <v>7.2973287683786303</v>
      </c>
      <c r="H37" s="26">
        <v>-3.0020860000384175</v>
      </c>
      <c r="I37" s="26">
        <v>5.4693579557730354</v>
      </c>
      <c r="J37" s="28"/>
      <c r="K37" s="28"/>
      <c r="L37" s="28"/>
      <c r="M37" s="28"/>
      <c r="N37" s="28"/>
      <c r="O37" s="28"/>
      <c r="P37" s="28"/>
    </row>
    <row r="38" spans="1:16" x14ac:dyDescent="0.45">
      <c r="A38" t="s">
        <v>30</v>
      </c>
      <c r="B38" s="43">
        <v>1</v>
      </c>
      <c r="C38" s="28"/>
      <c r="D38" s="28"/>
      <c r="E38" s="28"/>
      <c r="F38" s="28"/>
      <c r="G38" s="24">
        <v>3</v>
      </c>
      <c r="H38" s="24">
        <v>3.4</v>
      </c>
      <c r="I38" s="24">
        <v>9.1999999999999993</v>
      </c>
      <c r="J38" s="24">
        <v>8.5</v>
      </c>
      <c r="K38" s="24">
        <v>9.8000000000000007</v>
      </c>
      <c r="L38" s="24">
        <v>11</v>
      </c>
      <c r="M38" s="24">
        <v>14.1</v>
      </c>
      <c r="N38" s="24">
        <v>12.6</v>
      </c>
      <c r="O38" s="24">
        <v>22.3</v>
      </c>
      <c r="P38" s="24">
        <v>16.399999999999999</v>
      </c>
    </row>
    <row r="39" spans="1:16" x14ac:dyDescent="0.45">
      <c r="A39" t="s">
        <v>31</v>
      </c>
      <c r="B39" s="43">
        <v>1</v>
      </c>
      <c r="C39" s="28"/>
      <c r="D39" s="28"/>
      <c r="E39" s="28"/>
      <c r="F39" s="28"/>
      <c r="G39" s="24">
        <v>6.2</v>
      </c>
      <c r="H39" s="24">
        <v>4</v>
      </c>
      <c r="I39" s="24">
        <v>8.3000000000000007</v>
      </c>
      <c r="J39" s="24">
        <v>4.5</v>
      </c>
      <c r="K39" s="24">
        <v>6.7</v>
      </c>
      <c r="L39" s="24">
        <v>10.199999999999999</v>
      </c>
      <c r="M39" s="24">
        <v>11.1</v>
      </c>
      <c r="N39" s="24">
        <v>14</v>
      </c>
      <c r="O39" s="24">
        <v>22</v>
      </c>
      <c r="P39" s="24">
        <v>19</v>
      </c>
    </row>
    <row r="40" spans="1:16" x14ac:dyDescent="0.45">
      <c r="A40" t="s">
        <v>32</v>
      </c>
      <c r="B40" s="43">
        <v>1</v>
      </c>
      <c r="C40" s="28"/>
      <c r="D40" s="28"/>
      <c r="E40" s="28"/>
      <c r="F40" s="28"/>
      <c r="G40" s="24">
        <v>-6.4</v>
      </c>
      <c r="H40" s="24">
        <v>1.4</v>
      </c>
      <c r="I40" s="24">
        <v>12.1</v>
      </c>
      <c r="J40" s="24">
        <v>21.8</v>
      </c>
      <c r="K40" s="24">
        <v>19</v>
      </c>
      <c r="L40" s="24">
        <v>12.9</v>
      </c>
      <c r="M40" s="24">
        <v>22</v>
      </c>
      <c r="N40" s="24">
        <v>9.4</v>
      </c>
      <c r="O40" s="24">
        <v>23</v>
      </c>
      <c r="P40" s="24">
        <v>9.6999999999999993</v>
      </c>
    </row>
    <row r="41" spans="1:16" s="31" customFormat="1" ht="14.65" thickBot="1" x14ac:dyDescent="0.5">
      <c r="A41" s="31" t="s">
        <v>33</v>
      </c>
      <c r="B41" s="44">
        <v>1</v>
      </c>
      <c r="C41" s="37"/>
      <c r="D41" s="37"/>
      <c r="E41" s="37"/>
      <c r="F41" s="37"/>
      <c r="G41" s="37"/>
      <c r="H41" s="37"/>
      <c r="I41" s="37"/>
      <c r="J41" s="38">
        <v>23.6</v>
      </c>
      <c r="K41" s="38">
        <v>19.3</v>
      </c>
      <c r="L41" s="38">
        <v>21.7</v>
      </c>
      <c r="M41" s="38">
        <v>26.6</v>
      </c>
      <c r="N41" s="38">
        <v>17.7</v>
      </c>
      <c r="O41" s="38">
        <v>30.1</v>
      </c>
      <c r="P41" s="38">
        <v>6.6</v>
      </c>
    </row>
    <row r="42" spans="1:16" x14ac:dyDescent="0.45">
      <c r="A42" t="s">
        <v>40</v>
      </c>
      <c r="B42" s="43">
        <v>1</v>
      </c>
      <c r="C42" s="14">
        <v>6.0999999999999943</v>
      </c>
      <c r="D42" s="14">
        <v>6.5699999999999932</v>
      </c>
      <c r="E42" s="14">
        <v>6.4699999999999989</v>
      </c>
      <c r="F42" s="20">
        <v>11.349999999999994</v>
      </c>
      <c r="G42" s="20">
        <v>12.909999999999997</v>
      </c>
      <c r="H42" s="20">
        <v>5.3900000000000006</v>
      </c>
      <c r="I42" s="20">
        <v>2.5100000000000051</v>
      </c>
      <c r="J42" s="20">
        <v>4.2600000000000051</v>
      </c>
      <c r="K42" s="20">
        <v>3.0400000000000063</v>
      </c>
      <c r="L42" s="20">
        <v>4.9099999999999966</v>
      </c>
      <c r="M42" s="20">
        <v>8.39</v>
      </c>
      <c r="N42" s="20">
        <v>11.939999999999998</v>
      </c>
      <c r="O42" s="20">
        <v>7.4200000000000017</v>
      </c>
      <c r="P42" s="20">
        <v>9.519999999999996</v>
      </c>
    </row>
    <row r="43" spans="1:16" x14ac:dyDescent="0.45">
      <c r="A43" t="s">
        <v>41</v>
      </c>
      <c r="B43" s="43">
        <v>1</v>
      </c>
      <c r="C43" s="14">
        <v>8.4658333333333342</v>
      </c>
      <c r="D43" s="14">
        <v>5.0599999999999987</v>
      </c>
      <c r="E43" s="14">
        <v>6.7699999999999987</v>
      </c>
      <c r="F43" s="20">
        <v>7.8049999999999997</v>
      </c>
      <c r="G43" s="20">
        <v>15.551666666666664</v>
      </c>
      <c r="H43" s="20">
        <v>7.0758333333333319</v>
      </c>
      <c r="I43" s="20">
        <v>3.6916666666666664</v>
      </c>
      <c r="J43" s="20">
        <v>2.8658333333333346</v>
      </c>
      <c r="K43" s="20">
        <v>4.4683333333333328</v>
      </c>
      <c r="L43" s="20">
        <v>3.3774999999999999</v>
      </c>
      <c r="M43" s="20">
        <v>6.6800000000000006</v>
      </c>
      <c r="N43" s="20">
        <v>13.752500000000003</v>
      </c>
      <c r="O43" s="20">
        <v>5.9483333333333341</v>
      </c>
      <c r="P43" s="20">
        <v>8.4441666666666659</v>
      </c>
    </row>
    <row r="44" spans="1:16" x14ac:dyDescent="0.45">
      <c r="A44" t="s">
        <v>42</v>
      </c>
      <c r="B44" s="43">
        <v>1</v>
      </c>
      <c r="J44" s="11">
        <v>7.4</v>
      </c>
      <c r="K44" s="11">
        <v>7.3</v>
      </c>
      <c r="L44" s="11">
        <v>5.0999999999999996</v>
      </c>
      <c r="M44" s="11">
        <v>5.7</v>
      </c>
      <c r="N44" s="11">
        <v>10.6</v>
      </c>
      <c r="O44" s="11">
        <v>9.9</v>
      </c>
      <c r="P44" s="11">
        <v>17.5</v>
      </c>
    </row>
    <row r="45" spans="1:16" x14ac:dyDescent="0.45">
      <c r="A45" t="s">
        <v>43</v>
      </c>
      <c r="B45" s="43">
        <v>1</v>
      </c>
      <c r="D45" s="14">
        <v>4</v>
      </c>
      <c r="E45" s="14">
        <v>1.7999999999999972</v>
      </c>
      <c r="F45" s="20">
        <v>0.70000000000000284</v>
      </c>
      <c r="G45" s="20">
        <v>-2</v>
      </c>
      <c r="H45" s="20">
        <v>0.20000000000000284</v>
      </c>
      <c r="I45" s="20">
        <v>1.7999999999999972</v>
      </c>
      <c r="J45" s="20">
        <v>2.7999999999999972</v>
      </c>
      <c r="K45" s="20">
        <v>2.2000000000000028</v>
      </c>
      <c r="L45" s="20">
        <v>-2.7000000000000028</v>
      </c>
      <c r="M45" s="20">
        <v>5.9000000000000057</v>
      </c>
      <c r="N45" s="20">
        <v>-1.4000000000000057</v>
      </c>
      <c r="O45" s="20">
        <v>4.0999999999999943</v>
      </c>
      <c r="P45" s="20">
        <v>4.2999999999999972</v>
      </c>
    </row>
    <row r="46" spans="1:16" x14ac:dyDescent="0.45">
      <c r="A46" t="s">
        <v>44</v>
      </c>
      <c r="B46" s="43">
        <v>1</v>
      </c>
      <c r="D46">
        <v>2.4</v>
      </c>
      <c r="E46">
        <v>2.5</v>
      </c>
      <c r="F46" s="11">
        <v>0.9</v>
      </c>
      <c r="G46" s="11">
        <v>-1.6</v>
      </c>
      <c r="H46" s="11">
        <v>0.5</v>
      </c>
      <c r="I46" s="11">
        <v>1</v>
      </c>
      <c r="J46" s="11">
        <v>3.2</v>
      </c>
      <c r="K46" s="11">
        <v>3.1</v>
      </c>
      <c r="L46" s="11">
        <v>-1.3</v>
      </c>
      <c r="M46" s="11">
        <v>6</v>
      </c>
      <c r="N46" s="11">
        <v>-1.9</v>
      </c>
      <c r="O46" s="11">
        <v>5.3</v>
      </c>
      <c r="P46" s="11">
        <v>4.5</v>
      </c>
    </row>
    <row r="47" spans="1:16" x14ac:dyDescent="0.45">
      <c r="A47" t="s">
        <v>34</v>
      </c>
      <c r="B47" s="43">
        <v>1</v>
      </c>
      <c r="D47" s="14">
        <v>6.2000000000000028</v>
      </c>
      <c r="E47" s="14">
        <v>3.7999999999999972</v>
      </c>
      <c r="F47" s="20">
        <v>0.90000000000000568</v>
      </c>
      <c r="G47" s="20">
        <v>-8</v>
      </c>
      <c r="H47" s="20">
        <v>-1.5</v>
      </c>
      <c r="I47" s="20">
        <v>3.4000000000000057</v>
      </c>
      <c r="J47" s="20">
        <v>3.5</v>
      </c>
      <c r="K47" s="20">
        <v>3.4000000000000057</v>
      </c>
      <c r="L47" s="20">
        <v>-3.9000000000000057</v>
      </c>
      <c r="M47" s="20">
        <v>7.7999999999999972</v>
      </c>
      <c r="N47" s="20">
        <v>9.9999999999994316E-2</v>
      </c>
      <c r="O47" s="20">
        <v>6.5</v>
      </c>
      <c r="P47" s="20">
        <v>5.2000000000000028</v>
      </c>
    </row>
    <row r="48" spans="1:16" x14ac:dyDescent="0.45">
      <c r="A48" t="s">
        <v>35</v>
      </c>
      <c r="B48" s="43">
        <v>1</v>
      </c>
      <c r="D48" s="14">
        <v>7.5999999999999943</v>
      </c>
      <c r="E48" s="14">
        <v>5.0999999999999943</v>
      </c>
      <c r="F48" s="20">
        <v>2.0999999999999943</v>
      </c>
      <c r="G48" s="20">
        <v>-9.5</v>
      </c>
      <c r="H48" s="20">
        <v>-2.5999999999999943</v>
      </c>
      <c r="I48" s="20">
        <v>3.7000000000000028</v>
      </c>
      <c r="J48" s="20">
        <v>4.2999999999999972</v>
      </c>
      <c r="K48" s="20">
        <v>3.7999999999999972</v>
      </c>
      <c r="L48" s="20">
        <v>-5.9000000000000057</v>
      </c>
      <c r="M48" s="20">
        <v>9.7999999999999972</v>
      </c>
      <c r="N48" s="20">
        <v>-0.59999999999999432</v>
      </c>
      <c r="O48" s="20">
        <v>7.5</v>
      </c>
      <c r="P48" s="20">
        <v>5.4000000000000057</v>
      </c>
    </row>
    <row r="49" spans="1:16" x14ac:dyDescent="0.45">
      <c r="A49" t="s">
        <v>36</v>
      </c>
      <c r="B49" s="43">
        <v>1</v>
      </c>
      <c r="D49" s="14">
        <v>5.5</v>
      </c>
      <c r="E49" s="14">
        <v>-5.2000000000000028</v>
      </c>
      <c r="F49" s="20">
        <v>-6.4000000000000057</v>
      </c>
      <c r="G49" s="20">
        <v>-11.700000000000003</v>
      </c>
      <c r="H49" s="20">
        <v>-0.59999999999999432</v>
      </c>
      <c r="I49" s="20">
        <v>6.4000000000000057</v>
      </c>
      <c r="J49" s="20">
        <v>-1.5999999999999943</v>
      </c>
      <c r="K49" s="20">
        <v>2.2999999999999972</v>
      </c>
      <c r="L49" s="20">
        <v>-4.2999999999999972</v>
      </c>
      <c r="M49" s="20">
        <v>15.099999999999994</v>
      </c>
      <c r="N49" s="20">
        <v>1.4000000000000057</v>
      </c>
      <c r="O49" s="20">
        <v>19.799999999999997</v>
      </c>
      <c r="P49" s="20">
        <v>2.0999999999999943</v>
      </c>
    </row>
    <row r="50" spans="1:16" x14ac:dyDescent="0.45">
      <c r="A50" t="s">
        <v>37</v>
      </c>
      <c r="B50" s="43">
        <v>1</v>
      </c>
      <c r="D50" s="14">
        <v>6.2000000000000028</v>
      </c>
      <c r="E50" s="14">
        <v>1.9000000000000057</v>
      </c>
      <c r="F50" s="20">
        <v>-2.0999999999999943</v>
      </c>
      <c r="G50" s="20">
        <v>-10.599999999999994</v>
      </c>
      <c r="H50" s="20">
        <v>1.2999999999999972</v>
      </c>
      <c r="I50" s="20">
        <v>4.7000000000000028</v>
      </c>
      <c r="J50" s="20">
        <v>0.59999999999999432</v>
      </c>
      <c r="K50" s="20">
        <v>1</v>
      </c>
      <c r="L50" s="20">
        <v>-4</v>
      </c>
      <c r="M50" s="20">
        <v>9.2999999999999972</v>
      </c>
      <c r="N50" s="20">
        <v>7.4000000000000057</v>
      </c>
      <c r="O50" s="20">
        <v>7.7999999999999972</v>
      </c>
      <c r="P50" s="20">
        <v>6</v>
      </c>
    </row>
    <row r="51" spans="1:16" x14ac:dyDescent="0.45">
      <c r="A51" t="s">
        <v>38</v>
      </c>
      <c r="B51" s="43">
        <v>1</v>
      </c>
      <c r="D51" s="14">
        <v>1.4000000000000057</v>
      </c>
      <c r="E51" s="14">
        <v>4.5999999999999943</v>
      </c>
      <c r="F51" s="20">
        <v>0.5</v>
      </c>
      <c r="G51" s="20">
        <v>3.7000000000000028</v>
      </c>
      <c r="H51" s="20">
        <v>3.2000000000000028</v>
      </c>
      <c r="I51" s="20">
        <v>5</v>
      </c>
      <c r="J51" s="20">
        <v>5.5999999999999943</v>
      </c>
      <c r="K51" s="20">
        <v>0.70000000000000284</v>
      </c>
      <c r="L51" s="20">
        <v>-4.2000000000000028</v>
      </c>
      <c r="M51" s="20">
        <v>3.2000000000000028</v>
      </c>
    </row>
    <row r="52" spans="1:16" s="31" customFormat="1" ht="14.65" thickBot="1" x14ac:dyDescent="0.5">
      <c r="A52" s="31" t="s">
        <v>39</v>
      </c>
      <c r="B52" s="44">
        <v>1</v>
      </c>
      <c r="D52" s="32">
        <v>9.7000000000000028</v>
      </c>
      <c r="E52" s="32">
        <v>3.5</v>
      </c>
      <c r="F52" s="51">
        <v>-7.2999999999999972</v>
      </c>
      <c r="G52" s="51">
        <v>-25</v>
      </c>
      <c r="H52" s="51">
        <v>-3.7000000000000028</v>
      </c>
      <c r="I52" s="51">
        <v>17.299999999999997</v>
      </c>
      <c r="J52" s="51">
        <v>2.7000000000000028</v>
      </c>
      <c r="K52" s="51">
        <v>3.0999999999999943</v>
      </c>
      <c r="L52" s="51">
        <v>-11.900000000000006</v>
      </c>
      <c r="M52" s="51">
        <v>19.099999999999994</v>
      </c>
      <c r="N52" s="33"/>
      <c r="O52" s="33"/>
      <c r="P52" s="33"/>
    </row>
    <row r="53" spans="1:16" x14ac:dyDescent="0.45">
      <c r="A53" s="11" t="s">
        <v>116</v>
      </c>
      <c r="B53" s="43">
        <v>1</v>
      </c>
      <c r="C53" s="11"/>
      <c r="D53" s="11"/>
      <c r="E53" s="11"/>
      <c r="J53" s="22">
        <v>2</v>
      </c>
      <c r="K53" s="45">
        <v>1.5</v>
      </c>
      <c r="L53" s="45">
        <v>1.5</v>
      </c>
      <c r="M53" s="45">
        <v>5.2</v>
      </c>
      <c r="N53" s="45">
        <v>5</v>
      </c>
      <c r="O53" s="45">
        <v>3.1</v>
      </c>
      <c r="P53" s="45">
        <v>3</v>
      </c>
    </row>
    <row r="54" spans="1:16" x14ac:dyDescent="0.45">
      <c r="A54" s="11" t="s">
        <v>117</v>
      </c>
      <c r="B54" s="43">
        <v>1</v>
      </c>
      <c r="C54" s="11"/>
      <c r="D54" s="11"/>
      <c r="E54" s="11"/>
      <c r="J54" s="22">
        <v>1</v>
      </c>
      <c r="K54" s="45">
        <v>1.3</v>
      </c>
      <c r="L54" s="45">
        <v>0.2</v>
      </c>
      <c r="M54" s="45">
        <v>2.7</v>
      </c>
      <c r="N54" s="45">
        <v>5.2</v>
      </c>
      <c r="O54" s="45">
        <v>3.4</v>
      </c>
      <c r="P54" s="45">
        <v>2.7</v>
      </c>
    </row>
    <row r="55" spans="1:16" x14ac:dyDescent="0.45">
      <c r="A55" s="11" t="s">
        <v>120</v>
      </c>
      <c r="B55" s="43">
        <v>1</v>
      </c>
      <c r="C55" s="11"/>
      <c r="D55" s="11"/>
      <c r="E55" s="11"/>
      <c r="J55" s="22">
        <v>1.7</v>
      </c>
      <c r="K55" s="45">
        <v>1.4</v>
      </c>
      <c r="L55" s="45">
        <v>0.4</v>
      </c>
      <c r="M55" s="45">
        <v>1</v>
      </c>
      <c r="N55" s="45">
        <v>0.5</v>
      </c>
      <c r="O55" s="45">
        <v>0.6</v>
      </c>
      <c r="P55" s="45">
        <v>0.2</v>
      </c>
    </row>
    <row r="56" spans="1:16" x14ac:dyDescent="0.45">
      <c r="A56" s="11" t="s">
        <v>112</v>
      </c>
      <c r="B56" s="43">
        <v>1</v>
      </c>
      <c r="C56" s="11"/>
      <c r="D56" s="11"/>
      <c r="E56" s="11"/>
      <c r="J56" s="20">
        <v>1.91</v>
      </c>
      <c r="K56" s="20">
        <v>2.2799999999999998</v>
      </c>
      <c r="L56" s="20">
        <v>0.54</v>
      </c>
      <c r="M56" s="20">
        <v>0.25</v>
      </c>
    </row>
    <row r="57" spans="1:16" x14ac:dyDescent="0.45">
      <c r="A57" s="11" t="s">
        <v>121</v>
      </c>
      <c r="B57" s="43">
        <v>1</v>
      </c>
      <c r="C57" s="11"/>
      <c r="D57" s="11"/>
      <c r="E57" s="11"/>
      <c r="L57" s="22">
        <v>0.1</v>
      </c>
      <c r="M57" s="22">
        <v>0.1</v>
      </c>
      <c r="N57" s="22">
        <v>3.7</v>
      </c>
      <c r="O57" s="22">
        <v>5.3</v>
      </c>
      <c r="P57" s="22">
        <v>4.7</v>
      </c>
    </row>
    <row r="58" spans="1:16" x14ac:dyDescent="0.45">
      <c r="A58" s="11" t="s">
        <v>113</v>
      </c>
      <c r="B58" s="43">
        <v>1</v>
      </c>
      <c r="C58" s="11"/>
      <c r="D58" s="11"/>
      <c r="E58" s="11"/>
      <c r="J58" s="20">
        <v>-0.4</v>
      </c>
      <c r="K58" s="20">
        <v>-0.43</v>
      </c>
      <c r="L58" s="20">
        <v>-0.5</v>
      </c>
      <c r="M58" s="20">
        <v>-0.5</v>
      </c>
    </row>
    <row r="59" spans="1:16" x14ac:dyDescent="0.45">
      <c r="A59" s="19" t="s">
        <v>118</v>
      </c>
      <c r="B59" s="43">
        <v>1</v>
      </c>
      <c r="C59" s="11"/>
      <c r="D59" s="11"/>
      <c r="E59" s="11"/>
      <c r="K59" s="22">
        <v>-0.5</v>
      </c>
      <c r="L59" s="22">
        <v>-0.5</v>
      </c>
      <c r="M59" s="22">
        <v>-0.5</v>
      </c>
      <c r="N59" s="22">
        <v>1.3</v>
      </c>
      <c r="O59" s="22">
        <v>4</v>
      </c>
      <c r="P59" s="22">
        <v>3.3</v>
      </c>
    </row>
    <row r="60" spans="1:16" x14ac:dyDescent="0.45">
      <c r="A60" s="19" t="s">
        <v>122</v>
      </c>
      <c r="B60" s="43">
        <v>1</v>
      </c>
      <c r="C60" s="19"/>
      <c r="D60" s="19"/>
      <c r="E60" s="19"/>
      <c r="F60" s="19"/>
      <c r="G60" s="19"/>
      <c r="H60" s="19"/>
      <c r="I60" s="19"/>
      <c r="J60" s="19"/>
      <c r="K60" s="19"/>
      <c r="L60" s="46">
        <v>-0.5</v>
      </c>
      <c r="M60" s="46">
        <v>-0.5</v>
      </c>
      <c r="N60" s="46">
        <v>1.3</v>
      </c>
      <c r="O60" s="46">
        <v>4</v>
      </c>
      <c r="P60" s="46">
        <v>3.3</v>
      </c>
    </row>
    <row r="61" spans="1:16" x14ac:dyDescent="0.45">
      <c r="A61" s="11" t="s">
        <v>123</v>
      </c>
      <c r="B61" s="43">
        <v>1</v>
      </c>
      <c r="C61" s="11"/>
      <c r="D61" s="11"/>
      <c r="E61" s="11"/>
      <c r="L61" s="22">
        <v>3.9</v>
      </c>
      <c r="M61" s="22">
        <v>3.8</v>
      </c>
      <c r="N61" s="22">
        <v>3.7</v>
      </c>
      <c r="O61" s="22">
        <v>3.5</v>
      </c>
      <c r="P61" s="22">
        <v>3.2</v>
      </c>
    </row>
    <row r="62" spans="1:16" x14ac:dyDescent="0.45">
      <c r="A62" s="11" t="s">
        <v>111</v>
      </c>
      <c r="B62" s="43">
        <v>1</v>
      </c>
      <c r="C62" s="11"/>
      <c r="D62" s="11"/>
      <c r="E62" s="11"/>
      <c r="J62" s="20">
        <v>3.6</v>
      </c>
      <c r="K62" s="22">
        <v>2.9</v>
      </c>
      <c r="L62" s="22">
        <v>-3</v>
      </c>
      <c r="M62" s="22">
        <v>6.6</v>
      </c>
      <c r="N62" s="22">
        <v>3.6</v>
      </c>
      <c r="O62" s="22">
        <v>3.4</v>
      </c>
      <c r="P62" s="22">
        <v>3.3</v>
      </c>
    </row>
    <row r="63" spans="1:16" x14ac:dyDescent="0.45">
      <c r="A63" s="11" t="s">
        <v>114</v>
      </c>
      <c r="B63" s="43">
        <v>1</v>
      </c>
      <c r="C63" s="11"/>
      <c r="D63" s="11"/>
      <c r="E63" s="11"/>
      <c r="J63" s="20">
        <v>3</v>
      </c>
      <c r="K63" s="22">
        <v>2.6</v>
      </c>
      <c r="L63" s="22">
        <v>-2.1</v>
      </c>
      <c r="M63" s="22">
        <v>6.2</v>
      </c>
      <c r="N63" s="22">
        <v>2.5</v>
      </c>
      <c r="O63" s="22">
        <v>2.9</v>
      </c>
      <c r="P63" s="22">
        <v>2.8</v>
      </c>
    </row>
    <row r="64" spans="1:16" x14ac:dyDescent="0.45">
      <c r="A64" s="11" t="s">
        <v>115</v>
      </c>
      <c r="B64" s="43">
        <v>1</v>
      </c>
      <c r="C64" s="11"/>
      <c r="D64" s="11"/>
      <c r="E64" s="11"/>
      <c r="J64" s="20">
        <v>1.7</v>
      </c>
      <c r="K64" s="22">
        <v>1.6</v>
      </c>
      <c r="L64" s="22">
        <v>-6.2</v>
      </c>
      <c r="M64" s="22">
        <v>6.3</v>
      </c>
      <c r="N64" s="22">
        <v>3.7</v>
      </c>
      <c r="O64" s="22">
        <v>0.5</v>
      </c>
      <c r="P64" s="22">
        <v>0.8</v>
      </c>
    </row>
    <row r="65" spans="1:16" x14ac:dyDescent="0.45">
      <c r="A65" s="11" t="s">
        <v>119</v>
      </c>
      <c r="B65" s="43">
        <v>1</v>
      </c>
      <c r="C65" s="11"/>
      <c r="D65" s="11"/>
      <c r="E65" s="11"/>
      <c r="J65" s="20">
        <v>6.9</v>
      </c>
      <c r="K65" s="22">
        <v>6.2</v>
      </c>
      <c r="L65" s="22">
        <v>2</v>
      </c>
      <c r="M65" s="22">
        <v>8.9</v>
      </c>
      <c r="N65" s="22">
        <v>3.2</v>
      </c>
      <c r="O65" s="22">
        <v>5.4</v>
      </c>
      <c r="P65" s="22">
        <v>5</v>
      </c>
    </row>
    <row r="66" spans="1:16" x14ac:dyDescent="0.45">
      <c r="A66" s="11" t="s">
        <v>132</v>
      </c>
      <c r="B66" s="43">
        <v>1</v>
      </c>
      <c r="C66" s="11"/>
      <c r="D66" s="11"/>
      <c r="E66" s="11"/>
      <c r="K66" s="22">
        <v>1.8</v>
      </c>
      <c r="L66" s="22">
        <v>0.1</v>
      </c>
      <c r="M66" s="22">
        <v>0.1</v>
      </c>
      <c r="N66" s="22">
        <v>3.7</v>
      </c>
      <c r="O66" s="22">
        <v>5.3</v>
      </c>
      <c r="P66" s="22">
        <v>4.7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0913-C65E-4C96-9E0A-3DC0BED007BD}">
  <dimension ref="A1:BE4"/>
  <sheetViews>
    <sheetView topLeftCell="AU1" workbookViewId="0">
      <selection activeCell="BG8" sqref="BG8"/>
    </sheetView>
  </sheetViews>
  <sheetFormatPr defaultRowHeight="14.25" x14ac:dyDescent="0.45"/>
  <cols>
    <col min="1" max="1" width="21.265625" bestFit="1" customWidth="1"/>
  </cols>
  <sheetData>
    <row r="1" spans="1:57" x14ac:dyDescent="0.45">
      <c r="A1" s="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  <c r="AG1" t="s">
        <v>88</v>
      </c>
      <c r="AH1" t="s">
        <v>89</v>
      </c>
      <c r="AI1" t="s">
        <v>90</v>
      </c>
      <c r="AJ1" t="s">
        <v>91</v>
      </c>
      <c r="AK1" t="s">
        <v>92</v>
      </c>
      <c r="AL1" t="s">
        <v>93</v>
      </c>
      <c r="AM1" t="s">
        <v>94</v>
      </c>
      <c r="AN1" t="s">
        <v>95</v>
      </c>
      <c r="AO1" t="s">
        <v>96</v>
      </c>
      <c r="AP1" t="s">
        <v>97</v>
      </c>
      <c r="AQ1" t="s">
        <v>98</v>
      </c>
      <c r="AR1" t="s">
        <v>99</v>
      </c>
      <c r="AS1" t="s">
        <v>100</v>
      </c>
      <c r="AT1" t="s">
        <v>101</v>
      </c>
      <c r="AU1" t="s">
        <v>102</v>
      </c>
      <c r="AV1" t="s">
        <v>103</v>
      </c>
      <c r="AW1" t="s">
        <v>104</v>
      </c>
      <c r="AX1" t="s">
        <v>105</v>
      </c>
      <c r="AY1" t="s">
        <v>106</v>
      </c>
      <c r="AZ1" t="s">
        <v>107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</row>
    <row r="2" spans="1:57" x14ac:dyDescent="0.45">
      <c r="A2" t="s">
        <v>52</v>
      </c>
      <c r="B2" s="14">
        <v>5.7000000000000028</v>
      </c>
      <c r="C2" s="14">
        <v>4.9000000000000057</v>
      </c>
      <c r="D2" s="14">
        <v>3.5</v>
      </c>
      <c r="E2" s="14">
        <v>2.4000000000000057</v>
      </c>
      <c r="F2" s="14">
        <v>1.0999999999999943</v>
      </c>
      <c r="G2" s="14">
        <v>1.7000000000000028</v>
      </c>
      <c r="H2" s="14">
        <v>1.5</v>
      </c>
      <c r="I2" s="14">
        <v>2.5</v>
      </c>
      <c r="J2" s="14">
        <v>0</v>
      </c>
      <c r="K2" s="14">
        <v>0.59999999999999432</v>
      </c>
      <c r="L2" s="14">
        <v>1.4000000000000057</v>
      </c>
      <c r="M2" s="14">
        <v>0.90000000000000568</v>
      </c>
      <c r="N2" s="14">
        <v>-1.5</v>
      </c>
      <c r="O2" s="14">
        <v>-3.0999999999999943</v>
      </c>
      <c r="P2" s="14">
        <v>-1.7000000000000028</v>
      </c>
      <c r="Q2" s="14">
        <v>-1.5999999999999943</v>
      </c>
      <c r="R2" s="14">
        <v>-0.20000000000000284</v>
      </c>
      <c r="S2" s="14">
        <v>0.29999999999999716</v>
      </c>
      <c r="T2" s="14">
        <v>9.9999999999994316E-2</v>
      </c>
      <c r="U2" s="14">
        <v>0.5</v>
      </c>
      <c r="V2" s="14">
        <v>1.2999999999999972</v>
      </c>
      <c r="W2" s="14">
        <v>2.2999999999999972</v>
      </c>
      <c r="X2" s="14">
        <v>2.5999999999999943</v>
      </c>
      <c r="Y2" s="14">
        <v>1</v>
      </c>
      <c r="Z2" s="14">
        <v>2.5999999999999943</v>
      </c>
      <c r="AA2" s="14">
        <v>2.7000000000000028</v>
      </c>
      <c r="AB2" s="14">
        <v>2.5999999999999943</v>
      </c>
      <c r="AC2" s="14">
        <v>3.2000000000000028</v>
      </c>
      <c r="AD2" s="14">
        <v>1.4000000000000057</v>
      </c>
      <c r="AE2" s="14">
        <v>1.4000000000000057</v>
      </c>
      <c r="AF2" s="14">
        <v>2.7999999999999972</v>
      </c>
      <c r="AG2" s="14">
        <v>3.0999999999999943</v>
      </c>
      <c r="AH2" s="14">
        <v>1.5</v>
      </c>
      <c r="AI2" s="14">
        <v>-7.2999999999999972</v>
      </c>
      <c r="AJ2" s="14">
        <v>-3.2999999999999972</v>
      </c>
      <c r="AK2" s="14">
        <v>-1.2999999999999972</v>
      </c>
      <c r="AL2" s="14">
        <v>1</v>
      </c>
      <c r="AM2" s="14">
        <v>11.400000000000006</v>
      </c>
      <c r="AN2" s="14">
        <v>5.2000000000000028</v>
      </c>
      <c r="AO2" s="14">
        <v>6</v>
      </c>
      <c r="AP2" s="14">
        <v>3.4000000000000057</v>
      </c>
      <c r="AQ2" s="14">
        <v>-3.7000000000000028</v>
      </c>
      <c r="AR2" s="14">
        <v>-2.9000000000000057</v>
      </c>
      <c r="AS2" s="14">
        <v>-1.9000000000000057</v>
      </c>
      <c r="AT2" s="14">
        <v>-0.90000000000000568</v>
      </c>
      <c r="AU2" s="14">
        <v>5.2999999999999972</v>
      </c>
      <c r="AV2" s="14">
        <v>6.2000000000000028</v>
      </c>
      <c r="AW2" s="14">
        <v>5.2999999999999972</v>
      </c>
      <c r="AX2" s="14">
        <v>5.4000000000000057</v>
      </c>
      <c r="AY2" s="14">
        <v>4.2999999999999972</v>
      </c>
      <c r="AZ2" s="14">
        <v>3.2999999999999972</v>
      </c>
      <c r="BA2" s="14">
        <v>4.5</v>
      </c>
      <c r="BB2" s="14">
        <v>1.4000000000000057</v>
      </c>
      <c r="BC2" s="14">
        <v>1.0999999999999943</v>
      </c>
      <c r="BD2" s="14">
        <v>0.6</v>
      </c>
    </row>
    <row r="3" spans="1:57" x14ac:dyDescent="0.45">
      <c r="A3" t="s">
        <v>53</v>
      </c>
      <c r="B3" s="16">
        <v>3.7000000000000028</v>
      </c>
      <c r="C3" s="16">
        <v>4.2900000000000063</v>
      </c>
      <c r="D3" s="16">
        <v>6.5699999999999932</v>
      </c>
      <c r="E3" s="16">
        <v>6.5699999999999932</v>
      </c>
      <c r="F3" s="16">
        <v>7.019999999999996</v>
      </c>
      <c r="G3" s="16">
        <v>6.8900000000000006</v>
      </c>
      <c r="H3" s="16">
        <v>6.1400000000000006</v>
      </c>
      <c r="I3" s="16">
        <v>6.4699999999999989</v>
      </c>
      <c r="J3" s="16">
        <v>6.9200000000000017</v>
      </c>
      <c r="K3" s="16">
        <v>7.8100000000000023</v>
      </c>
      <c r="L3" s="16">
        <v>8.0300000000000011</v>
      </c>
      <c r="M3" s="16">
        <v>11.349999999999994</v>
      </c>
      <c r="N3" s="16">
        <v>16.920000000000002</v>
      </c>
      <c r="O3" s="16">
        <v>15.280000000000001</v>
      </c>
      <c r="P3" s="16">
        <v>15.680000000000007</v>
      </c>
      <c r="Q3" s="16">
        <v>12.909999999999997</v>
      </c>
      <c r="R3" s="16">
        <v>7.269999999999996</v>
      </c>
      <c r="S3" s="16">
        <v>7.4899999999999949</v>
      </c>
      <c r="T3" s="16">
        <v>6.4300000000000068</v>
      </c>
      <c r="U3" s="16">
        <v>5.3900000000000006</v>
      </c>
      <c r="V3" s="16">
        <v>4.25</v>
      </c>
      <c r="W3" s="16">
        <v>4.3499999999999943</v>
      </c>
      <c r="X3" s="16">
        <v>2.9599999999999937</v>
      </c>
      <c r="Y3" s="16">
        <v>2.5100000000000051</v>
      </c>
      <c r="Z3" s="16">
        <v>2.3499999999999943</v>
      </c>
      <c r="AA3" s="16">
        <v>2.2900000000000063</v>
      </c>
      <c r="AB3" s="16">
        <v>3.3799999999999955</v>
      </c>
      <c r="AC3" s="16">
        <v>4.2600000000000051</v>
      </c>
      <c r="AD3" s="16">
        <v>5.25</v>
      </c>
      <c r="AE3" s="16">
        <v>4.6599999999999966</v>
      </c>
      <c r="AF3" s="16">
        <v>3.9899999999999949</v>
      </c>
      <c r="AG3" s="16">
        <v>3.0400000000000063</v>
      </c>
      <c r="AH3" s="16">
        <v>2.5400000000000063</v>
      </c>
      <c r="AI3" s="16">
        <v>3.2099999999999937</v>
      </c>
      <c r="AJ3" s="16">
        <v>3.6700000000000017</v>
      </c>
      <c r="AK3" s="16">
        <v>4.9099999999999966</v>
      </c>
      <c r="AL3" s="16">
        <v>5.7900000000000063</v>
      </c>
      <c r="AM3" s="16">
        <v>6.5</v>
      </c>
      <c r="AN3" s="16">
        <v>7.4000000000000057</v>
      </c>
      <c r="AO3" s="16">
        <v>8.39</v>
      </c>
      <c r="AP3" s="16">
        <v>16.689999999999998</v>
      </c>
      <c r="AQ3" s="16">
        <v>15.900000000000006</v>
      </c>
      <c r="AR3" s="16">
        <v>13.680000000000007</v>
      </c>
      <c r="AS3" s="16">
        <v>11.939999999999998</v>
      </c>
      <c r="AT3" s="16">
        <v>3.5100000000000051</v>
      </c>
      <c r="AU3" s="16">
        <v>3.25</v>
      </c>
      <c r="AV3" s="16">
        <v>6</v>
      </c>
      <c r="AW3" s="16">
        <v>7.4200000000000017</v>
      </c>
      <c r="AX3" s="16">
        <v>7.7199999999999989</v>
      </c>
      <c r="AY3" s="16">
        <v>8.5900000000000034</v>
      </c>
      <c r="AZ3" s="16">
        <v>8.6299999999999955</v>
      </c>
      <c r="BA3" s="18">
        <v>9.519999999999996</v>
      </c>
      <c r="BB3" s="17">
        <v>10.340000000000003</v>
      </c>
      <c r="BC3" s="16">
        <v>9.4000000000000057</v>
      </c>
      <c r="BD3" s="16">
        <v>7.980000000000004</v>
      </c>
    </row>
    <row r="4" spans="1:57" x14ac:dyDescent="0.45">
      <c r="A4" t="s">
        <v>54</v>
      </c>
      <c r="B4">
        <v>4.33</v>
      </c>
      <c r="C4">
        <v>7.29</v>
      </c>
      <c r="D4">
        <v>10.38</v>
      </c>
      <c r="E4">
        <v>4.6399999999999997</v>
      </c>
      <c r="F4">
        <v>6.1</v>
      </c>
      <c r="G4">
        <v>6.98</v>
      </c>
      <c r="H4">
        <v>6.71</v>
      </c>
      <c r="I4">
        <v>6.01</v>
      </c>
      <c r="J4">
        <v>7.64</v>
      </c>
      <c r="K4">
        <v>10.33</v>
      </c>
      <c r="L4">
        <v>8.57</v>
      </c>
      <c r="M4">
        <v>18.7</v>
      </c>
      <c r="N4">
        <v>30.69</v>
      </c>
      <c r="O4">
        <v>4.51</v>
      </c>
      <c r="P4">
        <v>9.64</v>
      </c>
      <c r="Q4">
        <v>8.14</v>
      </c>
      <c r="R4">
        <v>6.47</v>
      </c>
      <c r="S4">
        <v>5.18</v>
      </c>
      <c r="T4">
        <v>5.84</v>
      </c>
      <c r="U4">
        <v>3.84</v>
      </c>
      <c r="V4">
        <v>2.33</v>
      </c>
      <c r="W4">
        <v>5.52</v>
      </c>
      <c r="X4">
        <v>0.33</v>
      </c>
      <c r="Y4">
        <v>2.0499999999999998</v>
      </c>
      <c r="Z4">
        <v>1.75</v>
      </c>
      <c r="AA4">
        <v>5.23</v>
      </c>
      <c r="AB4">
        <v>4.8</v>
      </c>
      <c r="AC4">
        <v>5.32</v>
      </c>
      <c r="AD4">
        <v>5.62</v>
      </c>
      <c r="AE4">
        <v>2.97</v>
      </c>
      <c r="AF4">
        <v>2.1</v>
      </c>
      <c r="AG4">
        <v>1.54</v>
      </c>
      <c r="AH4">
        <v>3.67</v>
      </c>
      <c r="AI4">
        <v>5.8</v>
      </c>
      <c r="AJ4">
        <v>4.1399999999999997</v>
      </c>
      <c r="AK4">
        <v>6.21</v>
      </c>
      <c r="AL4">
        <v>6.5</v>
      </c>
      <c r="AM4">
        <v>9.1999999999999993</v>
      </c>
      <c r="AN4">
        <v>8.08</v>
      </c>
      <c r="AO4">
        <v>9.9600000000000009</v>
      </c>
      <c r="AP4">
        <v>42.45</v>
      </c>
      <c r="AQ4">
        <v>6.52</v>
      </c>
      <c r="AR4">
        <v>-0.22</v>
      </c>
      <c r="AS4">
        <v>2.79</v>
      </c>
      <c r="AT4">
        <v>4.25</v>
      </c>
      <c r="AU4">
        <v>4.59</v>
      </c>
      <c r="AV4">
        <v>13.4</v>
      </c>
      <c r="AW4">
        <v>8.8000000000000007</v>
      </c>
      <c r="AX4">
        <v>5.2</v>
      </c>
      <c r="AY4">
        <v>8</v>
      </c>
      <c r="AZ4">
        <v>12.3</v>
      </c>
      <c r="BA4">
        <v>12.8</v>
      </c>
      <c r="BB4">
        <v>8.08</v>
      </c>
      <c r="BC4">
        <v>4.3</v>
      </c>
      <c r="BD4">
        <v>6.73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workbookViewId="0">
      <selection activeCell="L1" sqref="L1:S1"/>
    </sheetView>
  </sheetViews>
  <sheetFormatPr defaultRowHeight="14.25" x14ac:dyDescent="0.45"/>
  <cols>
    <col min="1" max="1" width="21.19921875" bestFit="1" customWidth="1"/>
  </cols>
  <sheetData>
    <row r="1" spans="1:19" ht="15.4" thickBot="1" x14ac:dyDescent="0.5">
      <c r="A1" s="1" t="s">
        <v>0</v>
      </c>
      <c r="B1" s="2">
        <v>2011</v>
      </c>
      <c r="C1" s="3">
        <v>2012</v>
      </c>
      <c r="D1" s="3">
        <v>2013</v>
      </c>
      <c r="E1" s="3">
        <v>2014</v>
      </c>
      <c r="F1" s="3">
        <v>2015</v>
      </c>
      <c r="G1" s="3">
        <v>2016</v>
      </c>
      <c r="H1" s="3">
        <v>2017</v>
      </c>
      <c r="I1" s="3">
        <v>2018</v>
      </c>
      <c r="J1" s="3">
        <v>2019</v>
      </c>
      <c r="K1" s="3">
        <v>2020</v>
      </c>
      <c r="L1" s="3">
        <v>2021</v>
      </c>
      <c r="M1" s="3">
        <v>2022</v>
      </c>
      <c r="N1" s="3">
        <v>2023</v>
      </c>
      <c r="O1" s="3">
        <v>2024</v>
      </c>
      <c r="P1" s="3">
        <v>2025</v>
      </c>
      <c r="Q1" s="3">
        <v>2026</v>
      </c>
      <c r="R1" s="3">
        <v>2027</v>
      </c>
      <c r="S1" s="3">
        <v>2028</v>
      </c>
    </row>
    <row r="2" spans="1:19" ht="15" x14ac:dyDescent="0.45">
      <c r="A2" s="4" t="s">
        <v>1</v>
      </c>
      <c r="B2" s="5">
        <v>20.855368359925102</v>
      </c>
      <c r="C2" s="6">
        <v>23.435104726842802</v>
      </c>
      <c r="D2" s="6">
        <v>24.442685772889</v>
      </c>
      <c r="E2" s="6">
        <v>26.7660797732491</v>
      </c>
      <c r="F2" s="6">
        <v>26.922009990231501</v>
      </c>
      <c r="G2" s="6">
        <v>28.181540396000397</v>
      </c>
      <c r="H2" s="6">
        <v>31.046673596434999</v>
      </c>
      <c r="I2" s="6">
        <v>37.320349995011398</v>
      </c>
      <c r="J2" s="6">
        <v>39.497586610687897</v>
      </c>
      <c r="K2" s="6">
        <v>38.205712415746902</v>
      </c>
      <c r="L2" s="6">
        <v>48.118404283347104</v>
      </c>
      <c r="M2" s="6">
        <v>53.074188787576794</v>
      </c>
      <c r="N2" s="6">
        <v>59.073435454608301</v>
      </c>
      <c r="O2" s="6">
        <v>70.940947303218095</v>
      </c>
    </row>
    <row r="3" spans="1:19" ht="15" x14ac:dyDescent="0.45">
      <c r="A3" s="4" t="s">
        <v>2</v>
      </c>
      <c r="B3" s="7">
        <v>15.213598909292532</v>
      </c>
      <c r="C3" s="8">
        <v>16.981920493260873</v>
      </c>
      <c r="D3" s="8">
        <v>17.90864996855791</v>
      </c>
      <c r="E3" s="8">
        <v>19.3322739456409</v>
      </c>
      <c r="F3" s="8">
        <v>21.059358870068632</v>
      </c>
      <c r="G3" s="8">
        <v>23.337511858390329</v>
      </c>
      <c r="H3" s="8">
        <v>25.074771895444659</v>
      </c>
      <c r="I3" s="8">
        <v>28.302575507197119</v>
      </c>
      <c r="J3" s="8">
        <v>31.573335782569647</v>
      </c>
      <c r="K3" s="8">
        <v>32.970467400308806</v>
      </c>
      <c r="L3" s="8">
        <v>39.06189756433227</v>
      </c>
      <c r="M3" s="8">
        <v>41.487972776415866</v>
      </c>
      <c r="N3" s="8">
        <v>50.251184009143493</v>
      </c>
      <c r="O3" s="8">
        <v>59.809886184911868</v>
      </c>
    </row>
    <row r="4" spans="1:19" ht="15" x14ac:dyDescent="0.45">
      <c r="A4" s="4" t="s">
        <v>3</v>
      </c>
      <c r="B4" s="7">
        <v>19.994644767498102</v>
      </c>
      <c r="C4" s="8">
        <v>23.174717651219801</v>
      </c>
      <c r="D4" s="8">
        <v>25.290909431342698</v>
      </c>
      <c r="E4" s="8">
        <v>27.611666262488001</v>
      </c>
      <c r="F4" s="8">
        <v>29.741503302501101</v>
      </c>
      <c r="G4" s="8">
        <v>31.323678557880498</v>
      </c>
      <c r="H4" s="8">
        <v>32.395747290466097</v>
      </c>
      <c r="I4" s="8">
        <v>34.284708922708504</v>
      </c>
      <c r="J4" s="8">
        <v>37.382242329686399</v>
      </c>
      <c r="K4" s="8">
        <v>42.503029843339604</v>
      </c>
      <c r="L4" s="8">
        <v>47.072681989358998</v>
      </c>
      <c r="M4" s="8">
        <v>55.1819542418352</v>
      </c>
      <c r="N4" s="8">
        <v>62.983647230317999</v>
      </c>
      <c r="O4" s="8">
        <v>74.166338084983693</v>
      </c>
    </row>
    <row r="5" spans="1:19" ht="15" x14ac:dyDescent="0.45">
      <c r="A5" s="4" t="s">
        <v>4</v>
      </c>
      <c r="B5" s="5">
        <v>0.86072359242700003</v>
      </c>
      <c r="C5" s="6">
        <v>0.2603870756230009</v>
      </c>
      <c r="D5" s="6">
        <v>-0.84822365845369774</v>
      </c>
      <c r="E5" s="6">
        <v>-0.8455864892389009</v>
      </c>
      <c r="F5" s="6">
        <v>-2.8194933122696</v>
      </c>
      <c r="G5" s="6">
        <v>-3.1421381618801014</v>
      </c>
      <c r="H5" s="6">
        <v>-1.3490736940310981</v>
      </c>
      <c r="I5" s="6">
        <v>3.0356410723028944</v>
      </c>
      <c r="J5" s="6">
        <v>2.115344281001498</v>
      </c>
      <c r="K5" s="6">
        <v>-4.2973174275927022</v>
      </c>
      <c r="L5" s="6">
        <v>1.0457222939881063</v>
      </c>
      <c r="M5" s="6">
        <v>-2.1077654542584057</v>
      </c>
      <c r="N5" s="6">
        <v>-3.9102117757096977</v>
      </c>
      <c r="O5" s="6">
        <v>-3.2253907817655971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7441-38B0-46F1-AB38-BCB6461466C7}">
  <dimension ref="A1:S5"/>
  <sheetViews>
    <sheetView workbookViewId="0">
      <selection activeCell="P12" sqref="P12"/>
    </sheetView>
  </sheetViews>
  <sheetFormatPr defaultRowHeight="14.25" x14ac:dyDescent="0.45"/>
  <cols>
    <col min="1" max="1" width="21.19921875" bestFit="1" customWidth="1"/>
  </cols>
  <sheetData>
    <row r="1" spans="1:19" ht="15.4" thickBot="1" x14ac:dyDescent="0.5">
      <c r="A1" s="1" t="s">
        <v>0</v>
      </c>
      <c r="B1" s="2">
        <v>2011</v>
      </c>
      <c r="C1" s="3">
        <v>2012</v>
      </c>
      <c r="D1" s="3">
        <v>2013</v>
      </c>
      <c r="E1" s="3">
        <v>2014</v>
      </c>
      <c r="F1" s="3">
        <v>2015</v>
      </c>
      <c r="G1" s="3">
        <v>2016</v>
      </c>
      <c r="H1" s="3">
        <v>2017</v>
      </c>
      <c r="I1" s="3">
        <v>2018</v>
      </c>
      <c r="J1" s="3">
        <v>2019</v>
      </c>
      <c r="K1" s="3">
        <v>2020</v>
      </c>
      <c r="L1" s="3">
        <v>2021</v>
      </c>
      <c r="M1" s="3">
        <v>2022</v>
      </c>
      <c r="N1" s="3">
        <v>2023</v>
      </c>
      <c r="O1" s="3">
        <v>2024</v>
      </c>
      <c r="P1" s="3">
        <v>2025</v>
      </c>
      <c r="Q1" s="3">
        <v>2026</v>
      </c>
      <c r="R1" s="3">
        <v>2027</v>
      </c>
      <c r="S1" s="3">
        <v>2028</v>
      </c>
    </row>
    <row r="2" spans="1:19" ht="15" x14ac:dyDescent="0.45">
      <c r="A2" s="4" t="s">
        <v>1</v>
      </c>
      <c r="B2" s="6">
        <v>34.693030025597345</v>
      </c>
      <c r="C2" s="6">
        <v>34.411039169030282</v>
      </c>
      <c r="D2" s="6">
        <v>33.489690986620836</v>
      </c>
      <c r="E2" s="6">
        <v>33.868235101110322</v>
      </c>
      <c r="F2" s="6">
        <v>32.402052456932111</v>
      </c>
      <c r="G2" s="6">
        <v>32.916175489854652</v>
      </c>
      <c r="H2" s="6">
        <v>33.804014956681677</v>
      </c>
      <c r="I2" s="6">
        <v>35.932752467937078</v>
      </c>
      <c r="J2" s="6">
        <v>36.035213156214176</v>
      </c>
      <c r="K2" s="6">
        <v>35.487995240463924</v>
      </c>
      <c r="L2" s="6">
        <v>35.715363178794405</v>
      </c>
      <c r="M2" s="6">
        <v>33.817940980558873</v>
      </c>
      <c r="N2" s="6">
        <v>33.485762869306825</v>
      </c>
      <c r="O2" s="6">
        <v>35.267317651166024</v>
      </c>
    </row>
    <row r="3" spans="1:19" ht="15" x14ac:dyDescent="0.45">
      <c r="A3" s="4" t="s">
        <v>2</v>
      </c>
      <c r="B3" s="8">
        <v>25.307912794851077</v>
      </c>
      <c r="C3" s="8">
        <v>24.935477697678891</v>
      </c>
      <c r="D3" s="8">
        <v>24.537203440212348</v>
      </c>
      <c r="E3" s="8">
        <v>24.461931092517119</v>
      </c>
      <c r="F3" s="8">
        <v>25.346044038499173</v>
      </c>
      <c r="G3" s="8">
        <v>27.258326728526253</v>
      </c>
      <c r="H3" s="8">
        <v>27.301732069819014</v>
      </c>
      <c r="I3" s="8">
        <v>27.250265338914385</v>
      </c>
      <c r="J3" s="8">
        <v>28.805605167525606</v>
      </c>
      <c r="K3" s="8">
        <v>30.625153051609594</v>
      </c>
      <c r="L3" s="8">
        <v>28.9932693891475</v>
      </c>
      <c r="M3" s="8">
        <v>26.435407621044551</v>
      </c>
      <c r="N3" s="8">
        <v>28.484871730967107</v>
      </c>
      <c r="O3" s="8">
        <v>29.7336634898261</v>
      </c>
    </row>
    <row r="4" spans="1:19" ht="15" x14ac:dyDescent="0.45">
      <c r="A4" s="4" t="s">
        <v>3</v>
      </c>
      <c r="B4" s="8">
        <v>33.261211180661959</v>
      </c>
      <c r="C4" s="8">
        <v>34.028698660514898</v>
      </c>
      <c r="D4" s="8">
        <v>34.651868845187558</v>
      </c>
      <c r="E4" s="8">
        <v>34.938190890619993</v>
      </c>
      <c r="F4" s="8">
        <v>35.795460684597039</v>
      </c>
      <c r="G4" s="8">
        <v>36.586208060696435</v>
      </c>
      <c r="H4" s="8">
        <v>35.272903634531197</v>
      </c>
      <c r="I4" s="8">
        <v>33.009978719911039</v>
      </c>
      <c r="J4" s="8">
        <v>34.105300758882009</v>
      </c>
      <c r="K4" s="8">
        <v>39.479628186806167</v>
      </c>
      <c r="L4" s="8">
        <v>34.9391871590324</v>
      </c>
      <c r="M4" s="8">
        <v>35.160972110403605</v>
      </c>
      <c r="N4" s="8">
        <v>35.702265486473841</v>
      </c>
      <c r="O4" s="8">
        <v>36.87077638091025</v>
      </c>
    </row>
    <row r="5" spans="1:19" ht="15" x14ac:dyDescent="0.45">
      <c r="A5" s="4" t="s">
        <v>4</v>
      </c>
      <c r="B5" s="6">
        <v>1.4318188449353855</v>
      </c>
      <c r="C5" s="6">
        <v>0.3823405085153837</v>
      </c>
      <c r="D5" s="6">
        <v>-1.1621778585667215</v>
      </c>
      <c r="E5" s="6">
        <v>-1.0699557895096703</v>
      </c>
      <c r="F5" s="6">
        <v>-3.3934082276649278</v>
      </c>
      <c r="G5" s="6">
        <v>-3.6700325708417836</v>
      </c>
      <c r="H5" s="6">
        <v>-1.4688886778495203</v>
      </c>
      <c r="I5" s="6">
        <v>2.9227737480260387</v>
      </c>
      <c r="J5" s="6">
        <v>1.929912397332167</v>
      </c>
      <c r="K5" s="6">
        <v>-3.9916329463422429</v>
      </c>
      <c r="L5" s="6">
        <v>0.7761760197620049</v>
      </c>
      <c r="M5" s="6">
        <v>-1.3430311298447322</v>
      </c>
      <c r="N5" s="6">
        <v>-2.2165026171670164</v>
      </c>
      <c r="O5" s="6">
        <v>-1.6034587297442258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C435-F7C1-4609-85AF-F93CCA6C4F10}">
  <dimension ref="A1:S8"/>
  <sheetViews>
    <sheetView workbookViewId="0">
      <selection activeCell="A5" sqref="A5"/>
    </sheetView>
  </sheetViews>
  <sheetFormatPr defaultRowHeight="14.25" x14ac:dyDescent="0.45"/>
  <cols>
    <col min="1" max="1" width="21.86328125" customWidth="1"/>
  </cols>
  <sheetData>
    <row r="1" spans="1:19" s="1" customFormat="1" ht="15.4" thickBot="1" x14ac:dyDescent="0.5">
      <c r="A1" s="1" t="s">
        <v>0</v>
      </c>
      <c r="B1" s="2">
        <v>2011</v>
      </c>
      <c r="C1" s="3">
        <v>2012</v>
      </c>
      <c r="D1" s="3">
        <v>2013</v>
      </c>
      <c r="E1" s="3">
        <v>2014</v>
      </c>
      <c r="F1" s="3">
        <v>2015</v>
      </c>
      <c r="G1" s="3">
        <v>2016</v>
      </c>
      <c r="H1" s="3">
        <v>2017</v>
      </c>
      <c r="I1" s="3">
        <v>2018</v>
      </c>
      <c r="J1" s="3">
        <v>2019</v>
      </c>
      <c r="K1" s="3">
        <v>2020</v>
      </c>
      <c r="L1" s="3">
        <v>2021</v>
      </c>
      <c r="M1" s="3">
        <v>2022</v>
      </c>
      <c r="N1" s="3">
        <v>2023</v>
      </c>
      <c r="O1" s="3">
        <v>2024</v>
      </c>
      <c r="P1" s="3">
        <v>2025</v>
      </c>
      <c r="Q1" s="3">
        <v>2026</v>
      </c>
      <c r="R1" s="3">
        <v>2027</v>
      </c>
      <c r="S1" s="3">
        <v>2028</v>
      </c>
    </row>
    <row r="2" spans="1:19" s="4" customFormat="1" ht="15" x14ac:dyDescent="0.45">
      <c r="A2" s="9" t="s">
        <v>1</v>
      </c>
      <c r="B2" s="5">
        <v>11.367652622657699</v>
      </c>
      <c r="C2" s="6">
        <v>12.8555406211199</v>
      </c>
      <c r="D2" s="6">
        <v>13.019939484875501</v>
      </c>
      <c r="E2" s="6">
        <v>14.496880495659301</v>
      </c>
      <c r="F2" s="6">
        <v>13.659242939370598</v>
      </c>
      <c r="G2" s="6">
        <v>13.460040690514099</v>
      </c>
      <c r="H2" s="6">
        <v>15.088914843263611</v>
      </c>
      <c r="I2" s="6">
        <v>19.454369031963697</v>
      </c>
      <c r="J2" s="6">
        <v>20.188796808536001</v>
      </c>
      <c r="K2" s="6">
        <v>18.719089935213802</v>
      </c>
      <c r="L2" s="6">
        <v>25.286377583494598</v>
      </c>
      <c r="M2" s="6">
        <v>27.824392914591442</v>
      </c>
      <c r="N2" s="6">
        <v>29.124049914491742</v>
      </c>
      <c r="O2" s="6">
        <v>36.708608954221702</v>
      </c>
    </row>
    <row r="3" spans="1:19" s="4" customFormat="1" ht="15" x14ac:dyDescent="0.45">
      <c r="A3" s="9" t="s">
        <v>5</v>
      </c>
      <c r="B3" s="7">
        <v>5.6417694506325695</v>
      </c>
      <c r="C3" s="8">
        <v>6.4531842335819301</v>
      </c>
      <c r="D3" s="8">
        <v>6.53403580433109</v>
      </c>
      <c r="E3" s="8">
        <v>7.4338058276081993</v>
      </c>
      <c r="F3" s="8">
        <v>5.8626511201628704</v>
      </c>
      <c r="G3" s="8">
        <v>4.84402853761007</v>
      </c>
      <c r="H3" s="8">
        <v>5.9719017009903403</v>
      </c>
      <c r="I3" s="8">
        <v>9.0177744878142807</v>
      </c>
      <c r="J3" s="8">
        <v>7.9242508281182502</v>
      </c>
      <c r="K3" s="8">
        <v>5.2352450154380996</v>
      </c>
      <c r="L3" s="8">
        <v>9.0565067190148376</v>
      </c>
      <c r="M3" s="8">
        <v>11.58621601116093</v>
      </c>
      <c r="N3" s="8">
        <v>8.8222514454648095</v>
      </c>
      <c r="O3" s="8">
        <v>11.131061118306228</v>
      </c>
    </row>
    <row r="4" spans="1:19" s="4" customFormat="1" ht="28.5" x14ac:dyDescent="0.45">
      <c r="A4" s="9" t="s">
        <v>125</v>
      </c>
      <c r="B4" s="7"/>
      <c r="C4" s="8"/>
      <c r="D4" s="8"/>
      <c r="E4" s="8"/>
      <c r="F4" s="8"/>
      <c r="G4" s="8"/>
      <c r="H4" s="8">
        <v>5.05</v>
      </c>
      <c r="I4" s="8">
        <v>4.7563000000000004</v>
      </c>
      <c r="J4" s="8">
        <v>4.9673999999999996</v>
      </c>
      <c r="K4" s="8">
        <v>5.5576999999999996</v>
      </c>
      <c r="L4" s="8">
        <v>5.8895</v>
      </c>
      <c r="M4" s="8">
        <v>6.5088999999999997</v>
      </c>
      <c r="N4" s="8">
        <v>8.0000999999999998</v>
      </c>
      <c r="O4" s="8">
        <v>9.8312000000000008</v>
      </c>
    </row>
    <row r="5" spans="1:19" s="4" customFormat="1" ht="28.5" x14ac:dyDescent="0.45">
      <c r="A5" s="9" t="s">
        <v>124</v>
      </c>
      <c r="B5" s="7"/>
      <c r="C5" s="8"/>
      <c r="D5" s="8"/>
      <c r="E5" s="8"/>
      <c r="F5" s="8"/>
      <c r="G5" s="8"/>
      <c r="H5" s="8">
        <v>0.92190170099034052</v>
      </c>
      <c r="I5" s="8">
        <v>4.2614744878142803</v>
      </c>
      <c r="J5" s="8">
        <v>2.9568508281182506</v>
      </c>
      <c r="K5" s="8">
        <v>-0.32245498456190003</v>
      </c>
      <c r="L5" s="8">
        <v>3.1670067190148377</v>
      </c>
      <c r="M5" s="8">
        <v>5.0773160111609306</v>
      </c>
      <c r="N5" s="8">
        <v>0.82215144546480978</v>
      </c>
      <c r="O5" s="8">
        <v>1.299861118306227</v>
      </c>
    </row>
    <row r="6" spans="1:19" s="4" customFormat="1" ht="15" x14ac:dyDescent="0.45">
      <c r="A6" s="9" t="s">
        <v>2</v>
      </c>
      <c r="B6" s="7">
        <v>5.7258831720251298</v>
      </c>
      <c r="C6" s="8">
        <v>6.4023563875379699</v>
      </c>
      <c r="D6" s="8">
        <v>6.4859036805444106</v>
      </c>
      <c r="E6" s="8">
        <v>7.0630746680511018</v>
      </c>
      <c r="F6" s="8">
        <v>7.7965918192077277</v>
      </c>
      <c r="G6" s="8">
        <v>8.6160121529040286</v>
      </c>
      <c r="H6" s="8">
        <v>9.1170131422732705</v>
      </c>
      <c r="I6" s="8">
        <v>10.436594544149417</v>
      </c>
      <c r="J6" s="8">
        <v>12.264545980417751</v>
      </c>
      <c r="K6" s="8">
        <v>13.483844919775702</v>
      </c>
      <c r="L6" s="8">
        <v>16.229870864479761</v>
      </c>
      <c r="M6" s="8">
        <v>16.238176903430514</v>
      </c>
      <c r="N6" s="8">
        <v>20.301798469026934</v>
      </c>
      <c r="O6" s="8">
        <v>25.577547835915475</v>
      </c>
    </row>
    <row r="7" spans="1:19" s="4" customFormat="1" ht="15" x14ac:dyDescent="0.45">
      <c r="A7" s="9" t="s">
        <v>3</v>
      </c>
      <c r="B7" s="5">
        <v>10.9256174183373</v>
      </c>
      <c r="C7" s="6">
        <v>12.894986746668302</v>
      </c>
      <c r="D7" s="6">
        <v>13.3429216402732</v>
      </c>
      <c r="E7" s="6">
        <v>14.8315759109634</v>
      </c>
      <c r="F7" s="6">
        <v>15.620252569873401</v>
      </c>
      <c r="G7" s="6">
        <v>16.4164468391836</v>
      </c>
      <c r="H7" s="6">
        <v>16.420303082740098</v>
      </c>
      <c r="I7" s="6">
        <v>16.7130027103995</v>
      </c>
      <c r="J7" s="6">
        <v>18.214517482904</v>
      </c>
      <c r="K7" s="6">
        <v>22.8215544641</v>
      </c>
      <c r="L7" s="6">
        <v>24.762100431050502</v>
      </c>
      <c r="M7" s="6">
        <v>31.119027710826799</v>
      </c>
      <c r="N7" s="6">
        <v>32.353847182286401</v>
      </c>
      <c r="O7" s="6">
        <v>40.180501752712502</v>
      </c>
    </row>
    <row r="8" spans="1:19" s="4" customFormat="1" ht="15" x14ac:dyDescent="0.45">
      <c r="A8" s="9" t="s">
        <v>4</v>
      </c>
      <c r="B8" s="5">
        <v>0.44203520432039944</v>
      </c>
      <c r="C8" s="6">
        <v>-3.9446125548401767E-2</v>
      </c>
      <c r="D8" s="6">
        <v>-0.3229821553976997</v>
      </c>
      <c r="E8" s="6">
        <v>-0.33469541530409863</v>
      </c>
      <c r="F8" s="6">
        <v>-1.9610096305028026</v>
      </c>
      <c r="G8" s="6">
        <v>-2.956406148669501</v>
      </c>
      <c r="H8" s="6">
        <v>-1.3313882394764871</v>
      </c>
      <c r="I8" s="6">
        <v>2.7413663215641968</v>
      </c>
      <c r="J8" s="6">
        <v>1.9742793256320006</v>
      </c>
      <c r="K8" s="6">
        <v>-4.1024645288861983</v>
      </c>
      <c r="L8" s="6">
        <v>0.52427715244409612</v>
      </c>
      <c r="M8" s="6">
        <v>-3.294634796235357</v>
      </c>
      <c r="N8" s="6">
        <v>-3.2297972677946589</v>
      </c>
      <c r="O8" s="6">
        <v>-3.4718927984907992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6723-7BA7-40AB-9F13-1CC8C3C01AB8}">
  <dimension ref="A1:S8"/>
  <sheetViews>
    <sheetView workbookViewId="0">
      <selection activeCell="T1" sqref="T1:T1048576"/>
    </sheetView>
  </sheetViews>
  <sheetFormatPr defaultRowHeight="14.25" x14ac:dyDescent="0.45"/>
  <cols>
    <col min="1" max="1" width="28.3984375" customWidth="1"/>
  </cols>
  <sheetData>
    <row r="1" spans="1:19" ht="15.4" thickBot="1" x14ac:dyDescent="0.5">
      <c r="A1" s="1" t="s">
        <v>0</v>
      </c>
      <c r="B1" s="2">
        <v>2011</v>
      </c>
      <c r="C1" s="3">
        <v>2012</v>
      </c>
      <c r="D1" s="3">
        <v>2013</v>
      </c>
      <c r="E1" s="3">
        <v>2014</v>
      </c>
      <c r="F1" s="3">
        <v>2015</v>
      </c>
      <c r="G1" s="3">
        <v>2016</v>
      </c>
      <c r="H1" s="3">
        <v>2017</v>
      </c>
      <c r="I1" s="3">
        <v>2018</v>
      </c>
      <c r="J1" s="3">
        <v>2019</v>
      </c>
      <c r="K1" s="3">
        <v>2020</v>
      </c>
      <c r="L1" s="3">
        <v>2021</v>
      </c>
      <c r="M1" s="3">
        <v>2022</v>
      </c>
      <c r="N1" s="3">
        <v>2023</v>
      </c>
      <c r="O1" s="3">
        <v>2024</v>
      </c>
      <c r="P1" s="3">
        <v>2025</v>
      </c>
      <c r="Q1" s="3">
        <v>2026</v>
      </c>
      <c r="R1" s="3">
        <v>2027</v>
      </c>
      <c r="S1" s="3">
        <v>2028</v>
      </c>
    </row>
    <row r="2" spans="1:19" ht="15" x14ac:dyDescent="0.45">
      <c r="A2" s="9" t="s">
        <v>1</v>
      </c>
      <c r="B2" s="6">
        <v>18.910158140205599</v>
      </c>
      <c r="C2" s="6">
        <v>18.876489651258904</v>
      </c>
      <c r="D2" s="6">
        <v>17.839027759241485</v>
      </c>
      <c r="E2" s="6">
        <v>18.343506446184744</v>
      </c>
      <c r="F2" s="6">
        <v>16.439616002076221</v>
      </c>
      <c r="G2" s="6">
        <v>15.721392629496783</v>
      </c>
      <c r="H2" s="6">
        <v>16.429003302316701</v>
      </c>
      <c r="I2" s="6">
        <v>18.731041561477689</v>
      </c>
      <c r="J2" s="6">
        <v>18.419039206973483</v>
      </c>
      <c r="K2" s="6">
        <v>17.387530097538075</v>
      </c>
      <c r="L2" s="6">
        <v>18.768539238180551</v>
      </c>
      <c r="M2" s="6">
        <v>17.729214499568339</v>
      </c>
      <c r="N2" s="6">
        <v>16.508960782886849</v>
      </c>
      <c r="O2" s="6">
        <v>18.249180786767511</v>
      </c>
    </row>
    <row r="3" spans="1:19" ht="15" x14ac:dyDescent="0.45">
      <c r="A3" s="9" t="s">
        <v>5</v>
      </c>
      <c r="B3" s="8">
        <v>9.3851172307462658</v>
      </c>
      <c r="C3" s="8">
        <v>9.4755614713513889</v>
      </c>
      <c r="D3" s="8">
        <v>8.9524875464084879</v>
      </c>
      <c r="E3" s="8">
        <v>9.4063040085932048</v>
      </c>
      <c r="F3" s="8">
        <v>7.0560084184329384</v>
      </c>
      <c r="G3" s="8">
        <v>5.657848761328399</v>
      </c>
      <c r="H3" s="8">
        <v>6.5022828868626634</v>
      </c>
      <c r="I3" s="8">
        <v>8.682487129022693</v>
      </c>
      <c r="J3" s="8">
        <v>7.2296079886885689</v>
      </c>
      <c r="K3" s="8">
        <v>4.8628421888543309</v>
      </c>
      <c r="L3" s="8">
        <v>6.7220937896469062</v>
      </c>
      <c r="M3" s="8">
        <v>7.3825333595143219</v>
      </c>
      <c r="N3" s="8">
        <v>5.0008911383397177</v>
      </c>
      <c r="O3" s="8">
        <v>5.5336541613399239</v>
      </c>
    </row>
    <row r="4" spans="1:19" ht="15" x14ac:dyDescent="0.45">
      <c r="A4" s="9" t="s">
        <v>125</v>
      </c>
      <c r="B4" s="8"/>
      <c r="C4" s="8"/>
      <c r="D4" s="8"/>
      <c r="E4" s="8"/>
      <c r="F4" s="8"/>
      <c r="G4" s="8"/>
      <c r="H4" s="8">
        <v>5.4985045338591325</v>
      </c>
      <c r="I4" s="8">
        <v>4.5794573359063948</v>
      </c>
      <c r="J4" s="8">
        <v>4.5319558279983925</v>
      </c>
      <c r="K4" s="8">
        <v>5.1623597278252857</v>
      </c>
      <c r="L4" s="8">
        <v>4.3714174352682438</v>
      </c>
      <c r="M4" s="8">
        <v>4.1473567675118783</v>
      </c>
      <c r="N4" s="8">
        <v>4.5348547865746909</v>
      </c>
      <c r="O4" s="8">
        <v>4.8874460586236799</v>
      </c>
    </row>
    <row r="5" spans="1:19" ht="28.5" x14ac:dyDescent="0.45">
      <c r="A5" s="9" t="s">
        <v>124</v>
      </c>
      <c r="B5" s="8"/>
      <c r="C5" s="8"/>
      <c r="D5" s="8"/>
      <c r="E5" s="8"/>
      <c r="F5" s="8"/>
      <c r="G5" s="8"/>
      <c r="H5" s="8">
        <v>1.0037783530035314</v>
      </c>
      <c r="I5" s="8">
        <v>4.1030297931162991</v>
      </c>
      <c r="J5" s="8">
        <v>2.697652160690176</v>
      </c>
      <c r="K5" s="8">
        <v>-0.29951753897095507</v>
      </c>
      <c r="L5" s="8">
        <v>2.3506763543786628</v>
      </c>
      <c r="M5" s="8">
        <v>3.2351765920024431</v>
      </c>
      <c r="N5" s="8">
        <v>0.46603635176502717</v>
      </c>
      <c r="O5" s="8">
        <v>0.64620810271624385</v>
      </c>
    </row>
    <row r="6" spans="1:19" ht="15" x14ac:dyDescent="0.45">
      <c r="A6" s="9" t="s">
        <v>2</v>
      </c>
      <c r="B6" s="8">
        <v>9.5250409094593333</v>
      </c>
      <c r="C6" s="8">
        <v>9.4009281799075151</v>
      </c>
      <c r="D6" s="8">
        <v>8.8865402128329976</v>
      </c>
      <c r="E6" s="8">
        <v>8.9372024375915391</v>
      </c>
      <c r="F6" s="8">
        <v>9.3836075836432826</v>
      </c>
      <c r="G6" s="8">
        <v>10.063543868168384</v>
      </c>
      <c r="H6" s="8">
        <v>9.9267204154540387</v>
      </c>
      <c r="I6" s="8">
        <v>10.048554432454996</v>
      </c>
      <c r="J6" s="8">
        <v>11.189431218284914</v>
      </c>
      <c r="K6" s="8">
        <v>12.524687908683745</v>
      </c>
      <c r="L6" s="8">
        <v>12.046445448533646</v>
      </c>
      <c r="M6" s="8">
        <v>10.346681140054017</v>
      </c>
      <c r="N6" s="8">
        <v>11.508069644547131</v>
      </c>
      <c r="O6" s="8">
        <v>12.715526625427586</v>
      </c>
    </row>
    <row r="7" spans="1:19" ht="15" x14ac:dyDescent="0.45">
      <c r="A7" s="9" t="s">
        <v>3</v>
      </c>
      <c r="B7" s="6">
        <v>18.174829933520606</v>
      </c>
      <c r="C7" s="6">
        <v>18.934410543319512</v>
      </c>
      <c r="D7" s="6">
        <v>18.281555748144367</v>
      </c>
      <c r="E7" s="6">
        <v>18.767010489691035</v>
      </c>
      <c r="F7" s="6">
        <v>18.799794047443424</v>
      </c>
      <c r="G7" s="6">
        <v>19.174489310567548</v>
      </c>
      <c r="H7" s="6">
        <v>17.878635831245056</v>
      </c>
      <c r="I7" s="6">
        <v>16.091601216736215</v>
      </c>
      <c r="J7" s="6">
        <v>16.61782595740738</v>
      </c>
      <c r="K7" s="6">
        <v>21.198170770613959</v>
      </c>
      <c r="L7" s="6">
        <v>18.379400213627211</v>
      </c>
      <c r="M7" s="6">
        <v>19.828497929740386</v>
      </c>
      <c r="N7" s="6">
        <v>18.339770597704725</v>
      </c>
      <c r="O7" s="6">
        <v>19.975184608676109</v>
      </c>
    </row>
    <row r="8" spans="1:19" ht="15" x14ac:dyDescent="0.45">
      <c r="A8" s="9" t="s">
        <v>4</v>
      </c>
      <c r="B8" s="6">
        <v>0.73532820668499355</v>
      </c>
      <c r="C8" s="6">
        <v>-5.7920892060607798E-2</v>
      </c>
      <c r="D8" s="6">
        <v>-0.44252798890288148</v>
      </c>
      <c r="E8" s="6">
        <v>-0.42350404350629134</v>
      </c>
      <c r="F8" s="6">
        <v>-2.3601780453672028</v>
      </c>
      <c r="G8" s="6">
        <v>-3.4530966810707646</v>
      </c>
      <c r="H8" s="6">
        <v>-1.4496325289283547</v>
      </c>
      <c r="I8" s="6">
        <v>2.6394403447414732</v>
      </c>
      <c r="J8" s="6">
        <v>1.8012132495661035</v>
      </c>
      <c r="K8" s="6">
        <v>-3.8106406730758842</v>
      </c>
      <c r="L8" s="6">
        <v>0.38913902455334082</v>
      </c>
      <c r="M8" s="6">
        <v>-2.0992834301720471</v>
      </c>
      <c r="N8" s="6">
        <v>-1.8308098148178757</v>
      </c>
      <c r="O8" s="6">
        <v>-1.7260038219085985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Все</vt:lpstr>
      <vt:lpstr>КСП</vt:lpstr>
      <vt:lpstr>ОНБП трлн руб</vt:lpstr>
      <vt:lpstr>ОНБП % ВВП</vt:lpstr>
      <vt:lpstr>ФЗоФБ трлн руб</vt:lpstr>
      <vt:lpstr>ФЗоФБ 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2025-12-22T10:44:57Z</dcterms:modified>
</cp:coreProperties>
</file>